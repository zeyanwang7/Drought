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462823C7-A415-49AA-9420-EBE8DF24805A}" xr6:coauthVersionLast="47" xr6:coauthVersionMax="47" xr10:uidLastSave="{00000000-0000-0000-0000-000000000000}"/>
  <bookViews>
    <workbookView xWindow="22932" yWindow="-108" windowWidth="23256" windowHeight="12456" firstSheet="8" activeTab="19" xr2:uid="{44ABFAA2-5C25-4E3E-9900-ED4FED8A2349}"/>
  </bookViews>
  <sheets>
    <sheet name="设计洪水" sheetId="1" r:id="rId1"/>
    <sheet name="安格庄" sheetId="9" r:id="rId2"/>
    <sheet name="东茨村" sheetId="10" r:id="rId3"/>
    <sheet name="落宝滩" sheetId="11" r:id="rId4"/>
    <sheet name="山区平原区间入流" sheetId="12" r:id="rId5"/>
    <sheet name="区间入流" sheetId="13" r:id="rId6"/>
    <sheet name="区间优化" sheetId="19" r:id="rId7"/>
    <sheet name="王快优化" sheetId="14" r:id="rId8"/>
    <sheet name="西大洋优化" sheetId="15" r:id="rId9"/>
    <sheet name="Sheet1" sheetId="18" r:id="rId10"/>
    <sheet name="王快" sheetId="3" r:id="rId11"/>
    <sheet name="龙门优化" sheetId="16" r:id="rId12"/>
    <sheet name="横山岭优化" sheetId="17" r:id="rId13"/>
    <sheet name="龙门" sheetId="2" r:id="rId14"/>
    <sheet name="西大洋" sheetId="4" r:id="rId15"/>
    <sheet name="横山岭" sheetId="5" r:id="rId16"/>
    <sheet name="东茨" sheetId="6" r:id="rId17"/>
    <sheet name="北河店" sheetId="7" r:id="rId18"/>
    <sheet name="白洋淀特征" sheetId="8" r:id="rId19"/>
    <sheet name="Sheet3" sheetId="20" r:id="rId20"/>
  </sheets>
  <calcPr calcId="181029"/>
  <fileRecoveryPr repairLoad="1"/>
</workbook>
</file>

<file path=xl/calcChain.xml><?xml version="1.0" encoding="utf-8"?>
<calcChain xmlns="http://schemas.openxmlformats.org/spreadsheetml/2006/main">
  <c r="D32" i="13" l="1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31" i="13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1" i="13"/>
  <c r="C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1" i="13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1" i="13"/>
  <c r="N64" i="5" l="1"/>
  <c r="M64" i="5"/>
  <c r="L64" i="5"/>
  <c r="N63" i="5"/>
  <c r="M63" i="5"/>
  <c r="L63" i="5"/>
  <c r="N62" i="5"/>
  <c r="M62" i="5"/>
  <c r="L62" i="5"/>
  <c r="N61" i="5"/>
  <c r="M61" i="5"/>
  <c r="L61" i="5"/>
  <c r="N60" i="5"/>
  <c r="M60" i="5"/>
  <c r="L60" i="5"/>
  <c r="N59" i="5"/>
  <c r="M59" i="5"/>
  <c r="L59" i="5"/>
  <c r="N58" i="5"/>
  <c r="M58" i="5"/>
  <c r="L58" i="5"/>
  <c r="N57" i="5"/>
  <c r="M57" i="5"/>
  <c r="L57" i="5"/>
  <c r="N56" i="5"/>
  <c r="M56" i="5"/>
  <c r="L56" i="5"/>
  <c r="N55" i="5"/>
  <c r="M55" i="5"/>
  <c r="L55" i="5"/>
  <c r="N54" i="5"/>
  <c r="M54" i="5"/>
  <c r="L54" i="5"/>
  <c r="N53" i="5"/>
  <c r="M53" i="5"/>
  <c r="L53" i="5"/>
  <c r="N52" i="5"/>
  <c r="M52" i="5"/>
  <c r="L52" i="5"/>
  <c r="N51" i="5"/>
  <c r="M51" i="5"/>
  <c r="L51" i="5"/>
  <c r="N50" i="5"/>
  <c r="M50" i="5"/>
  <c r="L50" i="5"/>
  <c r="N49" i="5"/>
  <c r="M49" i="5"/>
  <c r="L49" i="5"/>
  <c r="N48" i="5"/>
  <c r="M48" i="5"/>
  <c r="L48" i="5"/>
  <c r="N47" i="5"/>
  <c r="M47" i="5"/>
  <c r="L47" i="5"/>
  <c r="N46" i="5"/>
  <c r="M46" i="5"/>
  <c r="L46" i="5"/>
  <c r="N45" i="5"/>
  <c r="M45" i="5"/>
  <c r="L45" i="5"/>
  <c r="N44" i="5"/>
  <c r="M44" i="5"/>
  <c r="L44" i="5"/>
  <c r="N43" i="5"/>
  <c r="M43" i="5"/>
  <c r="L43" i="5"/>
  <c r="N42" i="5"/>
  <c r="M42" i="5"/>
  <c r="L42" i="5"/>
  <c r="N41" i="5"/>
  <c r="M41" i="5"/>
  <c r="L41" i="5"/>
  <c r="N40" i="5"/>
  <c r="M40" i="5"/>
  <c r="L40" i="5"/>
  <c r="N39" i="5"/>
  <c r="M39" i="5"/>
  <c r="L39" i="5"/>
  <c r="N38" i="5"/>
  <c r="M38" i="5"/>
  <c r="L38" i="5"/>
  <c r="N37" i="5"/>
  <c r="M37" i="5"/>
  <c r="L37" i="5"/>
  <c r="N36" i="5"/>
  <c r="M36" i="5"/>
  <c r="L36" i="5"/>
  <c r="N35" i="5"/>
  <c r="M35" i="5"/>
  <c r="L35" i="5"/>
  <c r="N34" i="5"/>
  <c r="M34" i="5"/>
  <c r="L34" i="5"/>
  <c r="N33" i="5"/>
  <c r="M33" i="5"/>
  <c r="L33" i="5"/>
  <c r="N32" i="5"/>
  <c r="M32" i="5"/>
  <c r="L32" i="5"/>
  <c r="N31" i="5"/>
  <c r="M31" i="5"/>
  <c r="L31" i="5"/>
  <c r="N30" i="5"/>
  <c r="M30" i="5"/>
  <c r="L30" i="5"/>
  <c r="N29" i="5"/>
  <c r="M29" i="5"/>
  <c r="L29" i="5"/>
  <c r="N28" i="5"/>
  <c r="M28" i="5"/>
  <c r="L28" i="5"/>
  <c r="N27" i="5"/>
  <c r="M27" i="5"/>
  <c r="L27" i="5"/>
  <c r="N26" i="5"/>
  <c r="M26" i="5"/>
  <c r="L26" i="5"/>
  <c r="N25" i="5"/>
  <c r="M25" i="5"/>
  <c r="L25" i="5"/>
  <c r="N24" i="5"/>
  <c r="M24" i="5"/>
  <c r="L24" i="5"/>
  <c r="N23" i="5"/>
  <c r="M23" i="5"/>
  <c r="L23" i="5"/>
  <c r="N22" i="5"/>
  <c r="M22" i="5"/>
  <c r="L22" i="5"/>
  <c r="N21" i="5"/>
  <c r="M21" i="5"/>
  <c r="L21" i="5"/>
  <c r="N20" i="5"/>
  <c r="M20" i="5"/>
  <c r="L20" i="5"/>
  <c r="N19" i="5"/>
  <c r="M19" i="5"/>
  <c r="L19" i="5"/>
  <c r="N18" i="5"/>
  <c r="M18" i="5"/>
  <c r="L18" i="5"/>
  <c r="N17" i="5"/>
  <c r="M17" i="5"/>
  <c r="L17" i="5"/>
  <c r="N16" i="5"/>
  <c r="M16" i="5"/>
  <c r="L16" i="5"/>
  <c r="N15" i="5"/>
  <c r="M15" i="5"/>
  <c r="L15" i="5"/>
  <c r="N14" i="5"/>
  <c r="M14" i="5"/>
  <c r="L14" i="5"/>
  <c r="N13" i="5"/>
  <c r="M13" i="5"/>
  <c r="L13" i="5"/>
  <c r="N12" i="5"/>
  <c r="M12" i="5"/>
  <c r="L12" i="5"/>
  <c r="N11" i="5"/>
  <c r="M11" i="5"/>
  <c r="L11" i="5"/>
  <c r="N10" i="5"/>
  <c r="M10" i="5"/>
  <c r="L10" i="5"/>
  <c r="N9" i="5"/>
  <c r="M9" i="5"/>
  <c r="L9" i="5"/>
  <c r="N8" i="5"/>
  <c r="M8" i="5"/>
  <c r="L8" i="5"/>
  <c r="N7" i="5"/>
  <c r="M7" i="5"/>
  <c r="L7" i="5"/>
  <c r="N6" i="5"/>
  <c r="M6" i="5"/>
  <c r="L6" i="5"/>
  <c r="N5" i="5"/>
  <c r="M5" i="5"/>
  <c r="L5" i="5"/>
  <c r="N4" i="5"/>
  <c r="M4" i="5"/>
  <c r="L4" i="5"/>
  <c r="N3" i="5"/>
  <c r="M3" i="5"/>
  <c r="L3" i="5"/>
  <c r="N2" i="5"/>
  <c r="M2" i="5"/>
  <c r="L2" i="5"/>
  <c r="N1" i="5"/>
  <c r="M1" i="5"/>
  <c r="L1" i="5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1" i="2"/>
  <c r="L1" i="2"/>
  <c r="K1" i="2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M1" i="3"/>
  <c r="L1" i="3"/>
  <c r="K1" i="3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1" i="4"/>
  <c r="L1" i="4"/>
  <c r="K1" i="4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E3" i="8"/>
  <c r="B18" i="8" s="1"/>
  <c r="E4" i="8"/>
  <c r="B19" i="8" s="1"/>
  <c r="E5" i="8"/>
  <c r="B20" i="8" s="1"/>
  <c r="E6" i="8"/>
  <c r="B21" i="8" s="1"/>
  <c r="E7" i="8"/>
  <c r="B22" i="8" s="1"/>
  <c r="E8" i="8"/>
  <c r="B23" i="8" s="1"/>
  <c r="E9" i="8"/>
  <c r="B24" i="8" s="1"/>
  <c r="E10" i="8"/>
  <c r="B25" i="8" s="1"/>
  <c r="E11" i="8"/>
  <c r="B26" i="8" s="1"/>
  <c r="E12" i="8"/>
  <c r="B27" i="8" s="1"/>
  <c r="E13" i="8"/>
  <c r="B28" i="8" s="1"/>
  <c r="E14" i="8"/>
  <c r="B29" i="8" s="1"/>
  <c r="E2" i="8"/>
  <c r="B17" i="8" s="1"/>
  <c r="C3" i="8"/>
  <c r="C4" i="8"/>
  <c r="C5" i="8"/>
  <c r="C6" i="8"/>
  <c r="C7" i="8"/>
  <c r="C8" i="8"/>
  <c r="C9" i="8"/>
  <c r="C10" i="8"/>
  <c r="C11" i="8"/>
  <c r="C12" i="8"/>
  <c r="C13" i="8"/>
  <c r="C14" i="8"/>
  <c r="C2" i="8"/>
  <c r="D2" i="12"/>
  <c r="F2" i="12" s="1"/>
  <c r="D3" i="12"/>
  <c r="F3" i="12" s="1"/>
  <c r="D4" i="12"/>
  <c r="F4" i="12" s="1"/>
  <c r="D5" i="12"/>
  <c r="F5" i="12" s="1"/>
  <c r="D6" i="12"/>
  <c r="F6" i="12" s="1"/>
  <c r="D7" i="12"/>
  <c r="F7" i="12" s="1"/>
  <c r="D8" i="12"/>
  <c r="F8" i="12" s="1"/>
  <c r="D9" i="12"/>
  <c r="F9" i="12" s="1"/>
  <c r="D10" i="12"/>
  <c r="F10" i="12" s="1"/>
  <c r="D11" i="12"/>
  <c r="F11" i="12" s="1"/>
  <c r="D12" i="12"/>
  <c r="F12" i="12" s="1"/>
  <c r="D13" i="12"/>
  <c r="F13" i="12" s="1"/>
  <c r="D14" i="12"/>
  <c r="F14" i="12" s="1"/>
  <c r="D15" i="12"/>
  <c r="F15" i="12" s="1"/>
  <c r="D16" i="12"/>
  <c r="F16" i="12" s="1"/>
  <c r="D17" i="12"/>
  <c r="F17" i="12" s="1"/>
  <c r="D18" i="12"/>
  <c r="F18" i="12" s="1"/>
  <c r="D19" i="12"/>
  <c r="F19" i="12" s="1"/>
  <c r="D20" i="12"/>
  <c r="F20" i="12" s="1"/>
  <c r="D21" i="12"/>
  <c r="F21" i="12" s="1"/>
  <c r="D22" i="12"/>
  <c r="F22" i="12" s="1"/>
  <c r="D23" i="12"/>
  <c r="F23" i="12" s="1"/>
  <c r="D24" i="12"/>
  <c r="F24" i="12" s="1"/>
  <c r="D25" i="12"/>
  <c r="F25" i="12" s="1"/>
  <c r="D26" i="12"/>
  <c r="F26" i="12" s="1"/>
  <c r="D27" i="12"/>
  <c r="F27" i="12" s="1"/>
  <c r="D28" i="12"/>
  <c r="F28" i="12" s="1"/>
  <c r="D29" i="12"/>
  <c r="F29" i="12" s="1"/>
  <c r="D30" i="12"/>
  <c r="F30" i="12" s="1"/>
  <c r="D31" i="12"/>
  <c r="F31" i="12" s="1"/>
  <c r="D32" i="12"/>
  <c r="F32" i="12" s="1"/>
  <c r="D33" i="12"/>
  <c r="F33" i="12" s="1"/>
  <c r="D34" i="12"/>
  <c r="F34" i="12" s="1"/>
  <c r="D35" i="12"/>
  <c r="F35" i="12" s="1"/>
  <c r="D36" i="12"/>
  <c r="F36" i="12" s="1"/>
  <c r="D37" i="12"/>
  <c r="F37" i="12" s="1"/>
  <c r="D38" i="12"/>
  <c r="F38" i="12" s="1"/>
  <c r="D39" i="12"/>
  <c r="F39" i="12" s="1"/>
  <c r="D40" i="12"/>
  <c r="F40" i="12" s="1"/>
  <c r="D41" i="12"/>
  <c r="F41" i="12" s="1"/>
  <c r="D42" i="12"/>
  <c r="F42" i="12" s="1"/>
  <c r="D43" i="12"/>
  <c r="F43" i="12" s="1"/>
  <c r="D44" i="12"/>
  <c r="F44" i="12" s="1"/>
  <c r="D45" i="12"/>
  <c r="F45" i="12" s="1"/>
  <c r="D46" i="12"/>
  <c r="F46" i="12" s="1"/>
  <c r="D47" i="12"/>
  <c r="F47" i="12" s="1"/>
  <c r="D48" i="12"/>
  <c r="F48" i="12" s="1"/>
  <c r="D49" i="12"/>
  <c r="F49" i="12" s="1"/>
  <c r="D50" i="12"/>
  <c r="F50" i="12" s="1"/>
  <c r="D51" i="12"/>
  <c r="F51" i="12" s="1"/>
  <c r="D52" i="12"/>
  <c r="F52" i="12" s="1"/>
  <c r="D53" i="12"/>
  <c r="F53" i="12" s="1"/>
  <c r="D54" i="12"/>
  <c r="F54" i="12" s="1"/>
  <c r="D55" i="12"/>
  <c r="F55" i="12" s="1"/>
  <c r="D56" i="12"/>
  <c r="F56" i="12" s="1"/>
  <c r="D57" i="12"/>
  <c r="F57" i="12" s="1"/>
  <c r="D58" i="12"/>
  <c r="F58" i="12" s="1"/>
  <c r="D59" i="12"/>
  <c r="F59" i="12" s="1"/>
  <c r="D60" i="12"/>
  <c r="F60" i="12" s="1"/>
  <c r="D61" i="12"/>
  <c r="F61" i="12" s="1"/>
  <c r="D62" i="12"/>
  <c r="F62" i="12" s="1"/>
  <c r="D63" i="12"/>
  <c r="F63" i="12" s="1"/>
  <c r="D64" i="12"/>
  <c r="F64" i="12" s="1"/>
  <c r="D1" i="12"/>
  <c r="F1" i="12" s="1"/>
  <c r="B2" i="11"/>
  <c r="C2" i="11"/>
  <c r="D2" i="11"/>
  <c r="B3" i="11"/>
  <c r="C3" i="11"/>
  <c r="D3" i="11"/>
  <c r="B4" i="11"/>
  <c r="C4" i="11"/>
  <c r="D4" i="11"/>
  <c r="B5" i="11"/>
  <c r="C5" i="11"/>
  <c r="D5" i="11"/>
  <c r="B6" i="11"/>
  <c r="C6" i="11"/>
  <c r="D6" i="11"/>
  <c r="B7" i="11"/>
  <c r="C7" i="11"/>
  <c r="D7" i="11"/>
  <c r="B8" i="11"/>
  <c r="C8" i="11"/>
  <c r="D8" i="11"/>
  <c r="B9" i="11"/>
  <c r="C9" i="11"/>
  <c r="D9" i="11"/>
  <c r="B10" i="11"/>
  <c r="C10" i="11"/>
  <c r="D10" i="11"/>
  <c r="B11" i="11"/>
  <c r="C11" i="11"/>
  <c r="D11" i="11"/>
  <c r="B12" i="11"/>
  <c r="C12" i="11"/>
  <c r="D12" i="11"/>
  <c r="B13" i="11"/>
  <c r="C13" i="11"/>
  <c r="D13" i="11"/>
  <c r="B14" i="11"/>
  <c r="C14" i="11"/>
  <c r="D14" i="11"/>
  <c r="B15" i="11"/>
  <c r="C15" i="11"/>
  <c r="D15" i="11"/>
  <c r="B16" i="11"/>
  <c r="C16" i="11"/>
  <c r="D16" i="11"/>
  <c r="B17" i="11"/>
  <c r="C17" i="11"/>
  <c r="D17" i="11"/>
  <c r="B18" i="11"/>
  <c r="C18" i="11"/>
  <c r="D18" i="11"/>
  <c r="B19" i="11"/>
  <c r="C19" i="11"/>
  <c r="D19" i="11"/>
  <c r="B20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B25" i="11"/>
  <c r="C25" i="11"/>
  <c r="D25" i="11"/>
  <c r="B26" i="11"/>
  <c r="C26" i="11"/>
  <c r="D26" i="11"/>
  <c r="B27" i="11"/>
  <c r="C27" i="11"/>
  <c r="D27" i="11"/>
  <c r="B28" i="11"/>
  <c r="C28" i="11"/>
  <c r="D28" i="11"/>
  <c r="B29" i="11"/>
  <c r="C29" i="11"/>
  <c r="D29" i="11"/>
  <c r="B30" i="11"/>
  <c r="C30" i="11"/>
  <c r="D30" i="11"/>
  <c r="B31" i="11"/>
  <c r="C31" i="11"/>
  <c r="D31" i="11"/>
  <c r="B32" i="11"/>
  <c r="C32" i="11"/>
  <c r="D32" i="11"/>
  <c r="B33" i="11"/>
  <c r="C33" i="11"/>
  <c r="D33" i="11"/>
  <c r="B34" i="11"/>
  <c r="C34" i="11"/>
  <c r="D34" i="11"/>
  <c r="B35" i="11"/>
  <c r="C35" i="11"/>
  <c r="D35" i="11"/>
  <c r="B36" i="11"/>
  <c r="C36" i="11"/>
  <c r="D36" i="11"/>
  <c r="B37" i="11"/>
  <c r="C37" i="11"/>
  <c r="D37" i="11"/>
  <c r="B38" i="11"/>
  <c r="C38" i="11"/>
  <c r="D38" i="11"/>
  <c r="B39" i="11"/>
  <c r="C39" i="11"/>
  <c r="D39" i="11"/>
  <c r="B40" i="11"/>
  <c r="C40" i="11"/>
  <c r="D40" i="11"/>
  <c r="B41" i="11"/>
  <c r="C41" i="11"/>
  <c r="D41" i="11"/>
  <c r="B42" i="11"/>
  <c r="C42" i="11"/>
  <c r="D42" i="11"/>
  <c r="B43" i="11"/>
  <c r="C43" i="11"/>
  <c r="D43" i="11"/>
  <c r="B44" i="11"/>
  <c r="C44" i="11"/>
  <c r="D44" i="11"/>
  <c r="B45" i="11"/>
  <c r="C45" i="11"/>
  <c r="D45" i="11"/>
  <c r="B46" i="11"/>
  <c r="C46" i="11"/>
  <c r="D46" i="11"/>
  <c r="B47" i="11"/>
  <c r="C47" i="11"/>
  <c r="D47" i="11"/>
  <c r="B48" i="11"/>
  <c r="C48" i="11"/>
  <c r="D48" i="11"/>
  <c r="B49" i="11"/>
  <c r="C49" i="11"/>
  <c r="D49" i="11"/>
  <c r="B50" i="11"/>
  <c r="C50" i="11"/>
  <c r="D50" i="11"/>
  <c r="B51" i="11"/>
  <c r="C51" i="11"/>
  <c r="D51" i="11"/>
  <c r="B52" i="11"/>
  <c r="C52" i="11"/>
  <c r="D52" i="11"/>
  <c r="B53" i="11"/>
  <c r="C53" i="11"/>
  <c r="D53" i="11"/>
  <c r="B54" i="11"/>
  <c r="C54" i="11"/>
  <c r="D54" i="11"/>
  <c r="B55" i="11"/>
  <c r="C55" i="11"/>
  <c r="D55" i="11"/>
  <c r="B56" i="11"/>
  <c r="C56" i="11"/>
  <c r="D56" i="11"/>
  <c r="B57" i="11"/>
  <c r="C57" i="11"/>
  <c r="D57" i="11"/>
  <c r="B58" i="11"/>
  <c r="C58" i="11"/>
  <c r="D58" i="11"/>
  <c r="B59" i="11"/>
  <c r="C59" i="11"/>
  <c r="D59" i="11"/>
  <c r="B60" i="11"/>
  <c r="C60" i="11"/>
  <c r="D60" i="11"/>
  <c r="B61" i="11"/>
  <c r="C61" i="11"/>
  <c r="D61" i="11"/>
  <c r="B62" i="11"/>
  <c r="C62" i="11"/>
  <c r="D62" i="11"/>
  <c r="B63" i="11"/>
  <c r="C63" i="11"/>
  <c r="D63" i="11"/>
  <c r="B64" i="11"/>
  <c r="C64" i="11"/>
  <c r="D64" i="11"/>
  <c r="D1" i="11"/>
  <c r="C1" i="11"/>
  <c r="B1" i="11"/>
  <c r="D65" i="11"/>
  <c r="C65" i="11"/>
  <c r="B65" i="11"/>
  <c r="D64" i="10"/>
  <c r="C64" i="10"/>
  <c r="B64" i="10"/>
  <c r="D63" i="10"/>
  <c r="C63" i="10"/>
  <c r="B63" i="10"/>
  <c r="D62" i="10"/>
  <c r="C62" i="10"/>
  <c r="B62" i="10"/>
  <c r="D61" i="10"/>
  <c r="C61" i="10"/>
  <c r="B61" i="10"/>
  <c r="D60" i="10"/>
  <c r="C60" i="10"/>
  <c r="B60" i="10"/>
  <c r="D59" i="10"/>
  <c r="C59" i="10"/>
  <c r="B59" i="10"/>
  <c r="D58" i="10"/>
  <c r="C58" i="10"/>
  <c r="B58" i="10"/>
  <c r="D57" i="10"/>
  <c r="C57" i="10"/>
  <c r="B57" i="10"/>
  <c r="D56" i="10"/>
  <c r="C56" i="10"/>
  <c r="B56" i="10"/>
  <c r="D55" i="10"/>
  <c r="C55" i="10"/>
  <c r="B55" i="10"/>
  <c r="D54" i="10"/>
  <c r="C54" i="10"/>
  <c r="B54" i="10"/>
  <c r="D53" i="10"/>
  <c r="C53" i="10"/>
  <c r="B53" i="10"/>
  <c r="D52" i="10"/>
  <c r="C52" i="10"/>
  <c r="B52" i="10"/>
  <c r="D51" i="10"/>
  <c r="C51" i="10"/>
  <c r="B51" i="10"/>
  <c r="D50" i="10"/>
  <c r="C50" i="10"/>
  <c r="B50" i="10"/>
  <c r="D49" i="10"/>
  <c r="C49" i="10"/>
  <c r="B49" i="10"/>
  <c r="D48" i="10"/>
  <c r="C48" i="10"/>
  <c r="B48" i="10"/>
  <c r="D47" i="10"/>
  <c r="C47" i="10"/>
  <c r="B47" i="10"/>
  <c r="D46" i="10"/>
  <c r="C46" i="10"/>
  <c r="B46" i="10"/>
  <c r="D45" i="10"/>
  <c r="C45" i="10"/>
  <c r="B45" i="10"/>
  <c r="D44" i="10"/>
  <c r="C44" i="10"/>
  <c r="B44" i="10"/>
  <c r="D43" i="10"/>
  <c r="C43" i="10"/>
  <c r="B43" i="10"/>
  <c r="D42" i="10"/>
  <c r="C42" i="10"/>
  <c r="B42" i="10"/>
  <c r="D41" i="10"/>
  <c r="C41" i="10"/>
  <c r="B41" i="10"/>
  <c r="D40" i="10"/>
  <c r="C40" i="10"/>
  <c r="B40" i="10"/>
  <c r="D39" i="10"/>
  <c r="C39" i="10"/>
  <c r="B39" i="10"/>
  <c r="D38" i="10"/>
  <c r="C38" i="10"/>
  <c r="B38" i="10"/>
  <c r="D37" i="10"/>
  <c r="C37" i="10"/>
  <c r="B37" i="10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C5" i="10"/>
  <c r="B5" i="10"/>
  <c r="D4" i="10"/>
  <c r="C4" i="10"/>
  <c r="B4" i="10"/>
  <c r="D3" i="10"/>
  <c r="C3" i="10"/>
  <c r="B3" i="10"/>
  <c r="D2" i="10"/>
  <c r="C2" i="10"/>
  <c r="B2" i="10"/>
  <c r="D1" i="10"/>
  <c r="C1" i="10"/>
  <c r="B1" i="10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1" i="5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1" i="2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1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1" i="3"/>
  <c r="B2" i="5"/>
  <c r="C2" i="5"/>
  <c r="D2" i="5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D1" i="5"/>
  <c r="C1" i="5"/>
  <c r="B1" i="5"/>
  <c r="B2" i="4"/>
  <c r="C2" i="4"/>
  <c r="D2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D1" i="4"/>
  <c r="C1" i="4"/>
  <c r="B1" i="4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C1" i="3"/>
  <c r="B1" i="3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D1" i="2"/>
  <c r="C1" i="2"/>
  <c r="B1" i="2"/>
</calcChain>
</file>

<file path=xl/sharedStrings.xml><?xml version="1.0" encoding="utf-8"?>
<sst xmlns="http://schemas.openxmlformats.org/spreadsheetml/2006/main" count="19" uniqueCount="18">
  <si>
    <t>王快</t>
  </si>
  <si>
    <t>横山岭</t>
  </si>
  <si>
    <t>西大洋</t>
  </si>
  <si>
    <t>龙门</t>
  </si>
  <si>
    <t>本杂马</t>
    <phoneticPr fontId="18" type="noConversion"/>
  </si>
  <si>
    <t>新安北堤</t>
    <phoneticPr fontId="18" type="noConversion"/>
  </si>
  <si>
    <t>周边地区</t>
  </si>
  <si>
    <t>周边地区</t>
    <phoneticPr fontId="18" type="noConversion"/>
  </si>
  <si>
    <t>总</t>
  </si>
  <si>
    <t>总</t>
    <phoneticPr fontId="18" type="noConversion"/>
  </si>
  <si>
    <t>白洋淀</t>
  </si>
  <si>
    <t>白洋淀</t>
    <phoneticPr fontId="18" type="noConversion"/>
  </si>
  <si>
    <t>DateTime</t>
  </si>
  <si>
    <t>DMA A (L/s)</t>
  </si>
  <si>
    <t>Rainfall depth (mm)</t>
  </si>
  <si>
    <t>Air temperature (°C)</t>
  </si>
  <si>
    <t>Air humidity (%)</t>
  </si>
  <si>
    <t>Windspeed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</si>
</sst>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历年洪水最大洪峰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Sheet3!$A$1:$A$5</c:f>
              <c:numCache>
                <c:formatCode>General</c:formatCode>
                <c:ptCount val="5"/>
                <c:pt idx="0">
                  <c:v>1956</c:v>
                </c:pt>
                <c:pt idx="1">
                  <c:v>1963</c:v>
                </c:pt>
                <c:pt idx="2">
                  <c:v>1996</c:v>
                </c:pt>
                <c:pt idx="3">
                  <c:v>2012</c:v>
                </c:pt>
                <c:pt idx="4">
                  <c:v>2023</c:v>
                </c:pt>
              </c:numCache>
            </c:numRef>
          </c:cat>
          <c:val>
            <c:numRef>
              <c:f>Sheet3!$B$1:$B$5</c:f>
              <c:numCache>
                <c:formatCode>General</c:formatCode>
                <c:ptCount val="5"/>
                <c:pt idx="0">
                  <c:v>2990</c:v>
                </c:pt>
                <c:pt idx="1">
                  <c:v>5380</c:v>
                </c:pt>
                <c:pt idx="2">
                  <c:v>1720</c:v>
                </c:pt>
                <c:pt idx="3">
                  <c:v>2800</c:v>
                </c:pt>
                <c:pt idx="4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E-4E8F-B7C3-70BFD72AB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8609440"/>
        <c:axId val="318607280"/>
      </c:barChart>
      <c:catAx>
        <c:axId val="31860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时间（年）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607280"/>
        <c:crosses val="autoZero"/>
        <c:auto val="1"/>
        <c:lblAlgn val="ctr"/>
        <c:lblOffset val="100"/>
        <c:noMultiLvlLbl val="0"/>
      </c:catAx>
      <c:valAx>
        <c:axId val="31860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流量（</a:t>
                </a:r>
                <a:r>
                  <a:rPr lang="en-US" altLang="zh-CN"/>
                  <a:t>m</a:t>
                </a:r>
                <a:r>
                  <a:rPr lang="en-US" altLang="zh-CN" baseline="30000"/>
                  <a:t>3</a:t>
                </a:r>
                <a:r>
                  <a:rPr lang="en-US" altLang="zh-CN"/>
                  <a:t>/s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860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144780</xdr:rowOff>
    </xdr:from>
    <xdr:to>
      <xdr:col>13</xdr:col>
      <xdr:colOff>457200</xdr:colOff>
      <xdr:row>21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FA45C6B-7908-BD20-773F-D3A8A934B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EC37-5690-4FFF-8D42-DA8297E6C4D4}">
  <dimension ref="A1:P65"/>
  <sheetViews>
    <sheetView workbookViewId="0">
      <selection activeCell="C5" sqref="C5"/>
    </sheetView>
  </sheetViews>
  <sheetFormatPr defaultRowHeight="14.25" x14ac:dyDescent="0.2"/>
  <cols>
    <col min="1" max="1" width="15.875" customWidth="1"/>
    <col min="2" max="2" width="14.875" customWidth="1"/>
    <col min="3" max="3" width="14.375" customWidth="1"/>
    <col min="4" max="4" width="14.5" customWidth="1"/>
    <col min="5" max="5" width="1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43</v>
      </c>
      <c r="B2">
        <v>98</v>
      </c>
      <c r="C2">
        <v>100</v>
      </c>
      <c r="D2">
        <v>84</v>
      </c>
      <c r="E2">
        <v>3403</v>
      </c>
    </row>
    <row r="3" spans="1:5" x14ac:dyDescent="0.2">
      <c r="A3">
        <v>61</v>
      </c>
      <c r="B3">
        <v>170</v>
      </c>
      <c r="C3">
        <v>127</v>
      </c>
      <c r="D3">
        <v>110</v>
      </c>
      <c r="E3">
        <v>3889</v>
      </c>
    </row>
    <row r="4" spans="1:5" x14ac:dyDescent="0.2">
      <c r="A4">
        <v>365</v>
      </c>
      <c r="B4">
        <v>397</v>
      </c>
      <c r="C4">
        <v>155</v>
      </c>
      <c r="D4">
        <v>137</v>
      </c>
      <c r="E4">
        <v>4525</v>
      </c>
    </row>
    <row r="5" spans="1:5" x14ac:dyDescent="0.2">
      <c r="A5">
        <v>232</v>
      </c>
      <c r="B5">
        <v>320</v>
      </c>
      <c r="C5">
        <v>183</v>
      </c>
      <c r="D5">
        <v>65</v>
      </c>
      <c r="E5">
        <v>4793</v>
      </c>
    </row>
    <row r="6" spans="1:5" x14ac:dyDescent="0.2">
      <c r="A6">
        <v>279</v>
      </c>
      <c r="B6">
        <v>270</v>
      </c>
      <c r="C6">
        <v>210</v>
      </c>
      <c r="D6">
        <v>58</v>
      </c>
      <c r="E6">
        <v>5160</v>
      </c>
    </row>
    <row r="7" spans="1:5" x14ac:dyDescent="0.2">
      <c r="A7">
        <v>640</v>
      </c>
      <c r="B7">
        <v>210</v>
      </c>
      <c r="C7">
        <v>237</v>
      </c>
      <c r="D7">
        <v>61</v>
      </c>
      <c r="E7">
        <v>5708</v>
      </c>
    </row>
    <row r="8" spans="1:5" x14ac:dyDescent="0.2">
      <c r="A8">
        <v>602</v>
      </c>
      <c r="B8">
        <v>141</v>
      </c>
      <c r="C8">
        <v>265</v>
      </c>
      <c r="D8">
        <v>105</v>
      </c>
      <c r="E8">
        <v>5830</v>
      </c>
    </row>
    <row r="9" spans="1:5" x14ac:dyDescent="0.2">
      <c r="A9">
        <v>408</v>
      </c>
      <c r="B9">
        <v>240</v>
      </c>
      <c r="C9">
        <v>269</v>
      </c>
      <c r="D9">
        <v>209</v>
      </c>
      <c r="E9">
        <v>5710</v>
      </c>
    </row>
    <row r="10" spans="1:5" x14ac:dyDescent="0.2">
      <c r="A10">
        <v>519</v>
      </c>
      <c r="B10">
        <v>350</v>
      </c>
      <c r="C10">
        <v>273</v>
      </c>
      <c r="D10">
        <v>439</v>
      </c>
      <c r="E10">
        <v>6776</v>
      </c>
    </row>
    <row r="11" spans="1:5" x14ac:dyDescent="0.2">
      <c r="A11">
        <v>927</v>
      </c>
      <c r="B11">
        <v>457</v>
      </c>
      <c r="C11">
        <v>276</v>
      </c>
      <c r="D11">
        <v>509</v>
      </c>
      <c r="E11">
        <v>6020</v>
      </c>
    </row>
    <row r="12" spans="1:5" x14ac:dyDescent="0.2">
      <c r="A12">
        <v>1065</v>
      </c>
      <c r="B12">
        <v>620</v>
      </c>
      <c r="C12">
        <v>280</v>
      </c>
      <c r="D12">
        <v>380</v>
      </c>
      <c r="E12">
        <v>6100</v>
      </c>
    </row>
    <row r="13" spans="1:5" x14ac:dyDescent="0.2">
      <c r="A13">
        <v>1159</v>
      </c>
      <c r="B13">
        <v>885</v>
      </c>
      <c r="C13">
        <v>360</v>
      </c>
      <c r="D13">
        <v>347</v>
      </c>
      <c r="E13">
        <v>6001</v>
      </c>
    </row>
    <row r="14" spans="1:5" x14ac:dyDescent="0.2">
      <c r="A14">
        <v>1863</v>
      </c>
      <c r="B14">
        <v>860</v>
      </c>
      <c r="C14">
        <v>840</v>
      </c>
      <c r="D14">
        <v>430</v>
      </c>
      <c r="E14">
        <v>6427</v>
      </c>
    </row>
    <row r="15" spans="1:5" x14ac:dyDescent="0.2">
      <c r="A15">
        <v>2621</v>
      </c>
      <c r="B15">
        <v>660</v>
      </c>
      <c r="C15">
        <v>740</v>
      </c>
      <c r="D15">
        <v>499</v>
      </c>
      <c r="E15">
        <v>6634</v>
      </c>
    </row>
    <row r="16" spans="1:5" x14ac:dyDescent="0.2">
      <c r="A16">
        <v>2321</v>
      </c>
      <c r="B16">
        <v>500</v>
      </c>
      <c r="C16">
        <v>720</v>
      </c>
      <c r="D16">
        <v>471</v>
      </c>
      <c r="E16">
        <v>6322</v>
      </c>
    </row>
    <row r="17" spans="1:5" x14ac:dyDescent="0.2">
      <c r="A17">
        <v>1566</v>
      </c>
      <c r="B17">
        <v>425</v>
      </c>
      <c r="C17">
        <v>720</v>
      </c>
      <c r="D17">
        <v>417</v>
      </c>
      <c r="E17">
        <v>5784</v>
      </c>
    </row>
    <row r="18" spans="1:5" x14ac:dyDescent="0.2">
      <c r="A18">
        <v>1713</v>
      </c>
      <c r="B18">
        <v>355</v>
      </c>
      <c r="C18">
        <v>760</v>
      </c>
      <c r="D18">
        <v>337</v>
      </c>
      <c r="E18">
        <v>5736</v>
      </c>
    </row>
    <row r="19" spans="1:5" x14ac:dyDescent="0.2">
      <c r="A19">
        <v>1391</v>
      </c>
      <c r="B19">
        <v>398</v>
      </c>
      <c r="C19">
        <v>860</v>
      </c>
      <c r="D19">
        <v>381</v>
      </c>
      <c r="E19">
        <v>5417</v>
      </c>
    </row>
    <row r="20" spans="1:5" x14ac:dyDescent="0.2">
      <c r="A20">
        <v>2686</v>
      </c>
      <c r="B20">
        <v>919</v>
      </c>
      <c r="C20">
        <v>2060</v>
      </c>
      <c r="D20">
        <v>759</v>
      </c>
      <c r="E20">
        <v>6694</v>
      </c>
    </row>
    <row r="21" spans="1:5" x14ac:dyDescent="0.2">
      <c r="A21">
        <v>4771</v>
      </c>
      <c r="B21">
        <v>1825</v>
      </c>
      <c r="C21">
        <v>2900</v>
      </c>
      <c r="D21">
        <v>931</v>
      </c>
      <c r="E21">
        <v>8139</v>
      </c>
    </row>
    <row r="22" spans="1:5" x14ac:dyDescent="0.2">
      <c r="A22">
        <v>6104</v>
      </c>
      <c r="B22">
        <v>2670</v>
      </c>
      <c r="C22">
        <v>4100</v>
      </c>
      <c r="D22">
        <v>766</v>
      </c>
      <c r="E22">
        <v>9393</v>
      </c>
    </row>
    <row r="23" spans="1:5" x14ac:dyDescent="0.2">
      <c r="A23">
        <v>7513</v>
      </c>
      <c r="B23">
        <v>2130</v>
      </c>
      <c r="C23">
        <v>6100</v>
      </c>
      <c r="D23">
        <v>300</v>
      </c>
      <c r="E23">
        <v>11173</v>
      </c>
    </row>
    <row r="24" spans="1:5" x14ac:dyDescent="0.2">
      <c r="A24">
        <v>9600</v>
      </c>
      <c r="B24">
        <v>1600</v>
      </c>
      <c r="C24">
        <v>4200</v>
      </c>
      <c r="D24">
        <v>940</v>
      </c>
      <c r="E24">
        <v>11087</v>
      </c>
    </row>
    <row r="25" spans="1:5" x14ac:dyDescent="0.2">
      <c r="A25">
        <v>6794</v>
      </c>
      <c r="B25">
        <v>1205</v>
      </c>
      <c r="C25">
        <v>5800</v>
      </c>
      <c r="D25">
        <v>1594</v>
      </c>
      <c r="E25">
        <v>10357</v>
      </c>
    </row>
    <row r="26" spans="1:5" x14ac:dyDescent="0.2">
      <c r="A26">
        <v>6714</v>
      </c>
      <c r="B26">
        <v>830</v>
      </c>
      <c r="C26">
        <v>7940</v>
      </c>
      <c r="D26">
        <v>2939</v>
      </c>
      <c r="E26">
        <v>11396</v>
      </c>
    </row>
    <row r="27" spans="1:5" x14ac:dyDescent="0.2">
      <c r="A27">
        <v>4527</v>
      </c>
      <c r="B27">
        <v>640</v>
      </c>
      <c r="C27">
        <v>6200</v>
      </c>
      <c r="D27">
        <v>4250</v>
      </c>
      <c r="E27">
        <v>9139</v>
      </c>
    </row>
    <row r="28" spans="1:5" x14ac:dyDescent="0.2">
      <c r="A28">
        <v>3885</v>
      </c>
      <c r="B28">
        <v>510</v>
      </c>
      <c r="C28">
        <v>4700</v>
      </c>
      <c r="D28">
        <v>1620</v>
      </c>
      <c r="E28">
        <v>7851</v>
      </c>
    </row>
    <row r="29" spans="1:5" x14ac:dyDescent="0.2">
      <c r="A29">
        <v>3494</v>
      </c>
      <c r="B29">
        <v>425</v>
      </c>
      <c r="C29">
        <v>3800</v>
      </c>
      <c r="D29">
        <v>1472</v>
      </c>
      <c r="E29">
        <v>7036</v>
      </c>
    </row>
    <row r="30" spans="1:5" x14ac:dyDescent="0.2">
      <c r="A30">
        <v>2789</v>
      </c>
      <c r="B30">
        <v>365</v>
      </c>
      <c r="C30">
        <v>2700</v>
      </c>
      <c r="D30">
        <v>1174</v>
      </c>
      <c r="E30">
        <v>5940</v>
      </c>
    </row>
    <row r="31" spans="1:5" x14ac:dyDescent="0.2">
      <c r="A31">
        <v>2293</v>
      </c>
      <c r="B31">
        <v>322</v>
      </c>
      <c r="C31">
        <v>2140</v>
      </c>
      <c r="D31">
        <v>943</v>
      </c>
      <c r="E31">
        <v>5258</v>
      </c>
    </row>
    <row r="32" spans="1:5" x14ac:dyDescent="0.2">
      <c r="A32">
        <v>2051</v>
      </c>
      <c r="B32">
        <v>280</v>
      </c>
      <c r="C32">
        <v>1700</v>
      </c>
      <c r="D32">
        <v>627</v>
      </c>
      <c r="E32">
        <v>4788</v>
      </c>
    </row>
    <row r="33" spans="1:5" x14ac:dyDescent="0.2">
      <c r="A33">
        <v>1503</v>
      </c>
      <c r="B33">
        <v>250</v>
      </c>
      <c r="C33">
        <v>1360</v>
      </c>
      <c r="D33">
        <v>519</v>
      </c>
      <c r="E33">
        <v>4200</v>
      </c>
    </row>
    <row r="34" spans="1:5" x14ac:dyDescent="0.2">
      <c r="A34">
        <v>1480</v>
      </c>
      <c r="B34">
        <v>220</v>
      </c>
      <c r="C34">
        <v>1140</v>
      </c>
      <c r="D34">
        <v>471</v>
      </c>
      <c r="E34">
        <v>3969</v>
      </c>
    </row>
    <row r="35" spans="1:5" x14ac:dyDescent="0.2">
      <c r="A35">
        <v>1400</v>
      </c>
      <c r="B35">
        <v>204</v>
      </c>
      <c r="C35">
        <v>980</v>
      </c>
      <c r="D35">
        <v>447</v>
      </c>
      <c r="E35">
        <v>3742</v>
      </c>
    </row>
    <row r="36" spans="1:5" x14ac:dyDescent="0.2">
      <c r="A36">
        <v>1229</v>
      </c>
      <c r="B36">
        <v>187</v>
      </c>
      <c r="C36">
        <v>560</v>
      </c>
      <c r="D36">
        <v>426</v>
      </c>
      <c r="E36">
        <v>3487</v>
      </c>
    </row>
    <row r="37" spans="1:5" x14ac:dyDescent="0.2">
      <c r="A37">
        <v>1080</v>
      </c>
      <c r="B37">
        <v>180</v>
      </c>
      <c r="C37">
        <v>750</v>
      </c>
      <c r="D37">
        <v>420</v>
      </c>
      <c r="E37">
        <v>3320</v>
      </c>
    </row>
    <row r="38" spans="1:5" x14ac:dyDescent="0.2">
      <c r="A38">
        <v>800</v>
      </c>
      <c r="B38">
        <v>172</v>
      </c>
      <c r="C38">
        <v>690</v>
      </c>
      <c r="D38">
        <v>418</v>
      </c>
      <c r="E38">
        <v>3084</v>
      </c>
    </row>
    <row r="39" spans="1:5" x14ac:dyDescent="0.2">
      <c r="A39">
        <v>722</v>
      </c>
      <c r="B39">
        <v>166</v>
      </c>
      <c r="C39">
        <v>630</v>
      </c>
      <c r="D39">
        <v>415</v>
      </c>
      <c r="E39">
        <v>2919</v>
      </c>
    </row>
    <row r="40" spans="1:5" x14ac:dyDescent="0.2">
      <c r="A40">
        <v>752</v>
      </c>
      <c r="B40">
        <v>160</v>
      </c>
      <c r="C40">
        <v>590</v>
      </c>
      <c r="D40">
        <v>384</v>
      </c>
      <c r="E40">
        <v>2832</v>
      </c>
    </row>
    <row r="41" spans="1:5" x14ac:dyDescent="0.2">
      <c r="A41">
        <v>960</v>
      </c>
      <c r="B41">
        <v>154</v>
      </c>
      <c r="C41">
        <v>540</v>
      </c>
      <c r="D41">
        <v>363</v>
      </c>
      <c r="E41">
        <v>2793</v>
      </c>
    </row>
    <row r="42" spans="1:5" x14ac:dyDescent="0.2">
      <c r="A42">
        <v>910</v>
      </c>
      <c r="B42">
        <v>148</v>
      </c>
      <c r="C42">
        <v>510</v>
      </c>
      <c r="D42">
        <v>345</v>
      </c>
      <c r="E42">
        <v>2719</v>
      </c>
    </row>
    <row r="43" spans="1:5" x14ac:dyDescent="0.2">
      <c r="A43">
        <v>725</v>
      </c>
      <c r="B43">
        <v>140</v>
      </c>
      <c r="C43">
        <v>480</v>
      </c>
      <c r="D43">
        <v>326</v>
      </c>
      <c r="E43">
        <v>2496</v>
      </c>
    </row>
    <row r="44" spans="1:5" x14ac:dyDescent="0.2">
      <c r="A44">
        <v>576</v>
      </c>
      <c r="B44">
        <v>132</v>
      </c>
      <c r="C44">
        <v>460</v>
      </c>
      <c r="D44">
        <v>319</v>
      </c>
      <c r="E44">
        <v>2304</v>
      </c>
    </row>
    <row r="45" spans="1:5" x14ac:dyDescent="0.2">
      <c r="A45">
        <v>520</v>
      </c>
      <c r="B45">
        <v>124</v>
      </c>
      <c r="C45">
        <v>430</v>
      </c>
      <c r="D45">
        <v>312</v>
      </c>
      <c r="E45">
        <v>2164</v>
      </c>
    </row>
    <row r="46" spans="1:5" x14ac:dyDescent="0.2">
      <c r="A46">
        <v>580</v>
      </c>
      <c r="B46">
        <v>115</v>
      </c>
      <c r="C46">
        <v>410</v>
      </c>
      <c r="D46">
        <v>304</v>
      </c>
      <c r="E46">
        <v>2111</v>
      </c>
    </row>
    <row r="47" spans="1:5" x14ac:dyDescent="0.2">
      <c r="A47">
        <v>600</v>
      </c>
      <c r="B47">
        <v>110</v>
      </c>
      <c r="C47">
        <v>390</v>
      </c>
      <c r="D47">
        <v>283</v>
      </c>
      <c r="E47">
        <v>2033</v>
      </c>
    </row>
    <row r="48" spans="1:5" x14ac:dyDescent="0.2">
      <c r="A48">
        <v>469</v>
      </c>
      <c r="B48">
        <v>105</v>
      </c>
      <c r="C48">
        <v>380</v>
      </c>
      <c r="D48">
        <v>260</v>
      </c>
      <c r="E48">
        <v>1890</v>
      </c>
    </row>
    <row r="49" spans="1:16" x14ac:dyDescent="0.2">
      <c r="A49">
        <v>480</v>
      </c>
      <c r="B49">
        <v>100</v>
      </c>
      <c r="C49">
        <v>360</v>
      </c>
      <c r="D49">
        <v>348</v>
      </c>
      <c r="E49">
        <v>1833</v>
      </c>
    </row>
    <row r="50" spans="1:16" x14ac:dyDescent="0.2">
      <c r="A50">
        <v>430</v>
      </c>
      <c r="B50">
        <v>95</v>
      </c>
      <c r="C50">
        <v>340</v>
      </c>
      <c r="D50">
        <v>217</v>
      </c>
      <c r="E50">
        <v>1740</v>
      </c>
    </row>
    <row r="51" spans="1:16" x14ac:dyDescent="0.2">
      <c r="A51">
        <v>380</v>
      </c>
      <c r="B51">
        <v>89</v>
      </c>
      <c r="C51">
        <v>330</v>
      </c>
      <c r="D51">
        <v>204</v>
      </c>
      <c r="E51">
        <v>1649</v>
      </c>
    </row>
    <row r="52" spans="1:16" x14ac:dyDescent="0.2">
      <c r="A52">
        <v>330</v>
      </c>
      <c r="B52">
        <v>83</v>
      </c>
      <c r="C52">
        <v>320</v>
      </c>
      <c r="D52">
        <v>195</v>
      </c>
      <c r="E52">
        <v>1558</v>
      </c>
    </row>
    <row r="53" spans="1:16" x14ac:dyDescent="0.2">
      <c r="A53">
        <v>290</v>
      </c>
      <c r="B53">
        <v>79</v>
      </c>
      <c r="C53">
        <v>310</v>
      </c>
      <c r="D53">
        <v>187</v>
      </c>
      <c r="E53">
        <v>1455</v>
      </c>
    </row>
    <row r="54" spans="1:16" x14ac:dyDescent="0.2">
      <c r="A54">
        <v>260</v>
      </c>
      <c r="B54">
        <v>74</v>
      </c>
      <c r="C54">
        <v>300</v>
      </c>
      <c r="D54">
        <v>180</v>
      </c>
      <c r="E54">
        <v>1405</v>
      </c>
    </row>
    <row r="55" spans="1:16" x14ac:dyDescent="0.2">
      <c r="A55">
        <v>262</v>
      </c>
      <c r="B55">
        <v>70</v>
      </c>
      <c r="C55">
        <v>290</v>
      </c>
      <c r="D55">
        <v>171</v>
      </c>
      <c r="E55">
        <v>1362</v>
      </c>
    </row>
    <row r="56" spans="1:16" x14ac:dyDescent="0.2">
      <c r="A56">
        <v>264</v>
      </c>
      <c r="B56">
        <v>65</v>
      </c>
      <c r="C56">
        <v>290</v>
      </c>
      <c r="D56">
        <v>163</v>
      </c>
      <c r="E56">
        <v>1301</v>
      </c>
    </row>
    <row r="57" spans="1:16" x14ac:dyDescent="0.2">
      <c r="A57">
        <v>267</v>
      </c>
      <c r="B57">
        <v>62</v>
      </c>
      <c r="C57">
        <v>290</v>
      </c>
      <c r="D57">
        <v>156</v>
      </c>
      <c r="E57">
        <v>1242</v>
      </c>
    </row>
    <row r="58" spans="1:16" x14ac:dyDescent="0.2">
      <c r="A58">
        <v>269</v>
      </c>
      <c r="B58">
        <v>59</v>
      </c>
      <c r="C58">
        <v>270</v>
      </c>
      <c r="D58">
        <v>149</v>
      </c>
      <c r="E58">
        <v>1171</v>
      </c>
      <c r="K58">
        <v>4001</v>
      </c>
      <c r="L58">
        <v>10.851516</v>
      </c>
      <c r="M58">
        <v>8.3051999999999992</v>
      </c>
      <c r="N58">
        <v>2.6780759999999999</v>
      </c>
      <c r="O58">
        <v>3.4449839999999998</v>
      </c>
      <c r="P58">
        <v>5</v>
      </c>
    </row>
    <row r="59" spans="1:16" x14ac:dyDescent="0.2">
      <c r="A59">
        <v>271</v>
      </c>
      <c r="B59">
        <v>62</v>
      </c>
      <c r="C59">
        <v>266</v>
      </c>
      <c r="D59">
        <v>142</v>
      </c>
      <c r="E59">
        <v>1106</v>
      </c>
    </row>
    <row r="60" spans="1:16" x14ac:dyDescent="0.2">
      <c r="A60">
        <v>273</v>
      </c>
      <c r="B60">
        <v>65</v>
      </c>
      <c r="C60">
        <v>260</v>
      </c>
      <c r="D60">
        <v>68</v>
      </c>
      <c r="E60">
        <v>1044</v>
      </c>
    </row>
    <row r="61" spans="1:16" x14ac:dyDescent="0.2">
      <c r="A61">
        <v>276</v>
      </c>
      <c r="B61">
        <v>56</v>
      </c>
      <c r="C61">
        <v>257</v>
      </c>
      <c r="D61">
        <v>69</v>
      </c>
      <c r="E61">
        <v>974</v>
      </c>
    </row>
    <row r="62" spans="1:16" x14ac:dyDescent="0.2">
      <c r="A62">
        <v>278</v>
      </c>
      <c r="B62">
        <v>47</v>
      </c>
      <c r="C62">
        <v>255</v>
      </c>
      <c r="D62">
        <v>70</v>
      </c>
      <c r="E62">
        <v>884</v>
      </c>
    </row>
    <row r="63" spans="1:16" x14ac:dyDescent="0.2">
      <c r="A63">
        <v>280</v>
      </c>
      <c r="B63">
        <v>48</v>
      </c>
      <c r="C63">
        <v>252</v>
      </c>
      <c r="D63">
        <v>71</v>
      </c>
      <c r="E63">
        <v>826</v>
      </c>
    </row>
    <row r="64" spans="1:16" x14ac:dyDescent="0.2">
      <c r="A64">
        <v>282</v>
      </c>
      <c r="B64">
        <v>49</v>
      </c>
      <c r="C64">
        <v>249</v>
      </c>
      <c r="D64">
        <v>71</v>
      </c>
      <c r="E64">
        <v>772</v>
      </c>
    </row>
    <row r="65" spans="1:5" x14ac:dyDescent="0.2">
      <c r="A65">
        <v>283</v>
      </c>
      <c r="B65">
        <v>50</v>
      </c>
      <c r="C65">
        <v>246</v>
      </c>
      <c r="D65">
        <v>71</v>
      </c>
      <c r="E65">
        <v>716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E3E1-CE53-425E-9141-D3E171939927}">
  <dimension ref="A1:D64"/>
  <sheetViews>
    <sheetView workbookViewId="0">
      <selection activeCell="S4" sqref="S4"/>
    </sheetView>
  </sheetViews>
  <sheetFormatPr defaultRowHeight="14.25" x14ac:dyDescent="0.2"/>
  <sheetData>
    <row r="1" spans="1:4" x14ac:dyDescent="0.2">
      <c r="A1" s="1">
        <v>36.405347564844497</v>
      </c>
      <c r="B1" s="1">
        <v>50.239379639485399</v>
      </c>
      <c r="C1" s="1">
        <v>88.829048058220565</v>
      </c>
      <c r="D1" s="1">
        <v>100.11470580332237</v>
      </c>
    </row>
    <row r="2" spans="1:4" x14ac:dyDescent="0.2">
      <c r="A2" s="1">
        <v>31.0737089760736</v>
      </c>
      <c r="B2" s="1">
        <v>42.881718386981568</v>
      </c>
      <c r="C2" s="1">
        <v>75.819849901619577</v>
      </c>
      <c r="D2" s="1">
        <v>85.4526996842024</v>
      </c>
    </row>
    <row r="3" spans="1:4" x14ac:dyDescent="0.2">
      <c r="A3" s="1">
        <v>49.0054169085589</v>
      </c>
      <c r="B3" s="1">
        <v>67.627475333811276</v>
      </c>
      <c r="C3" s="1">
        <v>119.57321725688371</v>
      </c>
      <c r="D3" s="1">
        <v>134.76489649853698</v>
      </c>
    </row>
    <row r="4" spans="1:4" x14ac:dyDescent="0.2">
      <c r="A4" s="1">
        <v>136.775421395259</v>
      </c>
      <c r="B4" s="1">
        <v>188.7500815254574</v>
      </c>
      <c r="C4" s="1">
        <v>333.73202820443197</v>
      </c>
      <c r="D4" s="1">
        <v>376.13240883696227</v>
      </c>
    </row>
    <row r="5" spans="1:4" x14ac:dyDescent="0.2">
      <c r="A5" s="1">
        <v>449.85543436913503</v>
      </c>
      <c r="B5" s="1">
        <v>620.80049942940627</v>
      </c>
      <c r="C5" s="1">
        <v>1097.6472598606895</v>
      </c>
      <c r="D5" s="1">
        <v>1237.1024445151213</v>
      </c>
    </row>
    <row r="6" spans="1:4" x14ac:dyDescent="0.2">
      <c r="A6" s="1">
        <v>1210.74152646428</v>
      </c>
      <c r="B6" s="1">
        <v>1670.8233065207062</v>
      </c>
      <c r="C6" s="1">
        <v>2954.2093245728433</v>
      </c>
      <c r="D6" s="1">
        <v>3329.5391977767699</v>
      </c>
    </row>
    <row r="7" spans="1:4" x14ac:dyDescent="0.2">
      <c r="A7" s="1">
        <v>1233.6919935000001</v>
      </c>
      <c r="B7" s="1">
        <v>1702.49495103</v>
      </c>
      <c r="C7" s="1">
        <v>3010.2084641400002</v>
      </c>
      <c r="D7" s="1">
        <v>3392.6529821250001</v>
      </c>
    </row>
    <row r="8" spans="1:4" x14ac:dyDescent="0.2">
      <c r="A8" s="1">
        <v>830.46268851149398</v>
      </c>
      <c r="B8" s="1">
        <v>1146.0385101458617</v>
      </c>
      <c r="C8" s="1">
        <v>2026.3289599680452</v>
      </c>
      <c r="D8" s="1">
        <v>2283.7723934066084</v>
      </c>
    </row>
    <row r="9" spans="1:4" x14ac:dyDescent="0.2">
      <c r="A9" s="1">
        <v>965.64841222857103</v>
      </c>
      <c r="B9" s="1">
        <v>1332.5948088754278</v>
      </c>
      <c r="C9" s="1">
        <v>2356.1821258377131</v>
      </c>
      <c r="D9" s="1">
        <v>2655.5331336285703</v>
      </c>
    </row>
    <row r="10" spans="1:4" x14ac:dyDescent="0.2">
      <c r="A10" s="1">
        <v>756.55048126724103</v>
      </c>
      <c r="B10" s="1">
        <v>1044.0396641487926</v>
      </c>
      <c r="C10" s="1">
        <v>1845.983174292068</v>
      </c>
      <c r="D10" s="1">
        <v>2080.5138234849128</v>
      </c>
    </row>
    <row r="11" spans="1:4" x14ac:dyDescent="0.2">
      <c r="A11" s="1">
        <v>932.38643472038802</v>
      </c>
      <c r="B11" s="1">
        <v>1286.6932799141355</v>
      </c>
      <c r="C11" s="1">
        <v>2275.0229007177468</v>
      </c>
      <c r="D11" s="1">
        <v>2564.0626954810668</v>
      </c>
    </row>
    <row r="12" spans="1:4" x14ac:dyDescent="0.2">
      <c r="A12" s="1">
        <v>914.24397748205104</v>
      </c>
      <c r="B12" s="1">
        <v>1261.6566889252304</v>
      </c>
      <c r="C12" s="1">
        <v>2230.7553050562046</v>
      </c>
      <c r="D12" s="1">
        <v>2514.1709380756402</v>
      </c>
    </row>
    <row r="13" spans="1:4" x14ac:dyDescent="0.2">
      <c r="A13" s="1">
        <v>1047.7525178799999</v>
      </c>
      <c r="B13" s="1">
        <v>1445.8984746743997</v>
      </c>
      <c r="C13" s="1">
        <v>2556.5161436271997</v>
      </c>
      <c r="D13" s="1">
        <v>2881.3194241699998</v>
      </c>
    </row>
    <row r="14" spans="1:4" x14ac:dyDescent="0.2">
      <c r="A14" s="1">
        <v>1949.7559805416599</v>
      </c>
      <c r="B14" s="1">
        <v>2690.6632531474907</v>
      </c>
      <c r="C14" s="1">
        <v>4757.4045925216506</v>
      </c>
      <c r="D14" s="1">
        <v>5361.8289464895652</v>
      </c>
    </row>
    <row r="15" spans="1:4" x14ac:dyDescent="0.2">
      <c r="A15" s="1">
        <v>1356.63156225531</v>
      </c>
      <c r="B15" s="1">
        <v>1872.1515559123277</v>
      </c>
      <c r="C15" s="1">
        <v>3310.1810119029565</v>
      </c>
      <c r="D15" s="1">
        <v>3730.7367962021026</v>
      </c>
    </row>
    <row r="16" spans="1:4" x14ac:dyDescent="0.2">
      <c r="A16" s="1">
        <v>786.80190619912196</v>
      </c>
      <c r="B16" s="1">
        <v>1085.7866305547882</v>
      </c>
      <c r="C16" s="1">
        <v>1919.7966511258576</v>
      </c>
      <c r="D16" s="1">
        <v>2163.7052420475852</v>
      </c>
    </row>
    <row r="17" spans="1:4" x14ac:dyDescent="0.2">
      <c r="A17" s="1">
        <v>636.92197533805302</v>
      </c>
      <c r="B17" s="1">
        <v>878.95232596651306</v>
      </c>
      <c r="C17" s="1">
        <v>1554.0896198248493</v>
      </c>
      <c r="D17" s="1">
        <v>1751.5354321796458</v>
      </c>
    </row>
    <row r="18" spans="1:4" x14ac:dyDescent="0.2">
      <c r="A18" s="1">
        <v>606.15308266086902</v>
      </c>
      <c r="B18" s="1">
        <v>836.49125407199915</v>
      </c>
      <c r="C18" s="1">
        <v>1479.0135216925203</v>
      </c>
      <c r="D18" s="1">
        <v>1666.9209773173898</v>
      </c>
    </row>
    <row r="19" spans="1:4" x14ac:dyDescent="0.2">
      <c r="A19" s="1">
        <v>385.159219431292</v>
      </c>
      <c r="B19" s="1">
        <v>531.51972281518294</v>
      </c>
      <c r="C19" s="1">
        <v>939.78849541235252</v>
      </c>
      <c r="D19" s="1">
        <v>1059.187853436053</v>
      </c>
    </row>
    <row r="20" spans="1:4" x14ac:dyDescent="0.2">
      <c r="A20" s="1">
        <v>338.78053854259201</v>
      </c>
      <c r="B20" s="1">
        <v>467.51714318877691</v>
      </c>
      <c r="C20" s="1">
        <v>826.62451404392448</v>
      </c>
      <c r="D20" s="1">
        <v>931.64648099212809</v>
      </c>
    </row>
    <row r="21" spans="1:4" x14ac:dyDescent="0.2">
      <c r="A21" s="1">
        <v>279.83301085555502</v>
      </c>
      <c r="B21" s="1">
        <v>386.16955498066591</v>
      </c>
      <c r="C21" s="1">
        <v>682.7925464875542</v>
      </c>
      <c r="D21" s="1">
        <v>769.54077985277627</v>
      </c>
    </row>
    <row r="22" spans="1:4" x14ac:dyDescent="0.2">
      <c r="A22" s="1">
        <v>232.715621002788</v>
      </c>
      <c r="B22" s="1">
        <v>321.14755698384744</v>
      </c>
      <c r="C22" s="1">
        <v>567.82611524680271</v>
      </c>
      <c r="D22" s="1">
        <v>639.96795775766702</v>
      </c>
    </row>
    <row r="23" spans="1:4" x14ac:dyDescent="0.2">
      <c r="A23" s="1">
        <v>226.34490897091601</v>
      </c>
      <c r="B23" s="1">
        <v>312.35597437986405</v>
      </c>
      <c r="C23" s="1">
        <v>552.28157788903502</v>
      </c>
      <c r="D23" s="1">
        <v>622.44849967001903</v>
      </c>
    </row>
    <row r="24" spans="1:4" x14ac:dyDescent="0.2">
      <c r="A24" s="1">
        <v>215.09580333333301</v>
      </c>
      <c r="B24" s="1">
        <v>296.83220859999955</v>
      </c>
      <c r="C24" s="1">
        <v>524.83376013333248</v>
      </c>
      <c r="D24" s="1">
        <v>591.51345916666583</v>
      </c>
    </row>
    <row r="25" spans="1:4" x14ac:dyDescent="0.2">
      <c r="A25" s="1">
        <v>210.30247512893001</v>
      </c>
      <c r="B25" s="1">
        <v>290.21741567792338</v>
      </c>
      <c r="C25" s="1">
        <v>513.13803931458926</v>
      </c>
      <c r="D25" s="1">
        <v>578.33180660455753</v>
      </c>
    </row>
    <row r="26" spans="1:4" x14ac:dyDescent="0.2">
      <c r="A26" s="1">
        <v>250.97405461801199</v>
      </c>
      <c r="B26" s="1">
        <v>346.34419537285652</v>
      </c>
      <c r="C26" s="1">
        <v>612.37669326794924</v>
      </c>
      <c r="D26" s="1">
        <v>690.17865019953297</v>
      </c>
    </row>
    <row r="27" spans="1:4" x14ac:dyDescent="0.2">
      <c r="A27" s="1">
        <v>187.561429251851</v>
      </c>
      <c r="B27" s="1">
        <v>258.83477236755436</v>
      </c>
      <c r="C27" s="1">
        <v>457.64988737451642</v>
      </c>
      <c r="D27" s="1">
        <v>515.79393044259018</v>
      </c>
    </row>
    <row r="28" spans="1:4" x14ac:dyDescent="0.2">
      <c r="A28" s="1">
        <v>157.32672436281399</v>
      </c>
      <c r="B28" s="1">
        <v>217.11087962068328</v>
      </c>
      <c r="C28" s="1">
        <v>383.87720744526615</v>
      </c>
      <c r="D28" s="1">
        <v>432.64849199773846</v>
      </c>
    </row>
    <row r="29" spans="1:4" x14ac:dyDescent="0.2">
      <c r="A29" s="1">
        <v>133.056203660655</v>
      </c>
      <c r="B29" s="1">
        <v>183.61756105170389</v>
      </c>
      <c r="C29" s="1">
        <v>324.6571369319982</v>
      </c>
      <c r="D29" s="1">
        <v>365.90456006680125</v>
      </c>
    </row>
    <row r="30" spans="1:4" x14ac:dyDescent="0.2">
      <c r="A30" s="1">
        <v>168.46672382142799</v>
      </c>
      <c r="B30" s="1">
        <v>232.48407887357061</v>
      </c>
      <c r="C30" s="1">
        <v>411.05880612428427</v>
      </c>
      <c r="D30" s="1">
        <v>463.283490508927</v>
      </c>
    </row>
    <row r="31" spans="1:4" x14ac:dyDescent="0.2">
      <c r="A31" s="1">
        <v>181.39120807894699</v>
      </c>
      <c r="B31" s="1">
        <v>250.31986714894683</v>
      </c>
      <c r="C31" s="1">
        <v>442.59454771263063</v>
      </c>
      <c r="D31" s="1">
        <v>498.82582221710425</v>
      </c>
    </row>
    <row r="32" spans="1:4" x14ac:dyDescent="0.2">
      <c r="A32" s="1">
        <v>149.39614796089299</v>
      </c>
      <c r="B32" s="1">
        <v>206.16668418603231</v>
      </c>
      <c r="C32" s="1">
        <v>364.52660102457889</v>
      </c>
      <c r="D32" s="1">
        <v>410.83940689245571</v>
      </c>
    </row>
    <row r="33" spans="1:4" x14ac:dyDescent="0.2">
      <c r="A33" s="1">
        <v>154.31495826627901</v>
      </c>
      <c r="B33" s="1">
        <v>212.954642407465</v>
      </c>
      <c r="C33" s="1">
        <v>376.52849816972076</v>
      </c>
      <c r="D33" s="1">
        <v>424.36613523226725</v>
      </c>
    </row>
    <row r="34" spans="1:4" x14ac:dyDescent="0.2">
      <c r="A34" s="1">
        <v>148.33050446629201</v>
      </c>
      <c r="B34" s="1">
        <v>204.69609616348296</v>
      </c>
      <c r="C34" s="1">
        <v>361.92643089775248</v>
      </c>
      <c r="D34" s="1">
        <v>407.90888728230306</v>
      </c>
    </row>
    <row r="35" spans="1:4" x14ac:dyDescent="0.2">
      <c r="A35" s="1">
        <v>148.99161068518501</v>
      </c>
      <c r="B35" s="1">
        <v>205.60842274555529</v>
      </c>
      <c r="C35" s="1">
        <v>363.5395300718514</v>
      </c>
      <c r="D35" s="1">
        <v>409.72692938425877</v>
      </c>
    </row>
    <row r="36" spans="1:4" x14ac:dyDescent="0.2">
      <c r="A36" s="1">
        <v>144.91907752857099</v>
      </c>
      <c r="B36" s="1">
        <v>199.98832698942795</v>
      </c>
      <c r="C36" s="1">
        <v>353.6025491697132</v>
      </c>
      <c r="D36" s="1">
        <v>398.52746320357022</v>
      </c>
    </row>
    <row r="37" spans="1:4" x14ac:dyDescent="0.2">
      <c r="A37" s="1">
        <v>149.99471181886699</v>
      </c>
      <c r="B37" s="1">
        <v>206.99270231003644</v>
      </c>
      <c r="C37" s="1">
        <v>365.98709683803543</v>
      </c>
      <c r="D37" s="1">
        <v>412.48545750188424</v>
      </c>
    </row>
    <row r="38" spans="1:4" x14ac:dyDescent="0.2">
      <c r="A38" s="1">
        <v>132.228701711702</v>
      </c>
      <c r="B38" s="1">
        <v>182.47560836214876</v>
      </c>
      <c r="C38" s="1">
        <v>322.63803217655288</v>
      </c>
      <c r="D38" s="1">
        <v>363.62892970718053</v>
      </c>
    </row>
    <row r="39" spans="1:4" x14ac:dyDescent="0.2">
      <c r="A39" s="1">
        <v>132.275216584042</v>
      </c>
      <c r="B39" s="1">
        <v>182.53979888597794</v>
      </c>
      <c r="C39" s="1">
        <v>322.75152846506245</v>
      </c>
      <c r="D39" s="1">
        <v>363.75684560611552</v>
      </c>
    </row>
    <row r="40" spans="1:4" x14ac:dyDescent="0.2">
      <c r="A40" s="1">
        <v>132.321731456382</v>
      </c>
      <c r="B40" s="1">
        <v>182.60398940980716</v>
      </c>
      <c r="C40" s="1">
        <v>322.86502475357207</v>
      </c>
      <c r="D40" s="1">
        <v>363.88476150505051</v>
      </c>
    </row>
    <row r="41" spans="1:4" x14ac:dyDescent="0.2">
      <c r="A41" s="1">
        <v>138.51381527831299</v>
      </c>
      <c r="B41" s="1">
        <v>191.14906508407191</v>
      </c>
      <c r="C41" s="1">
        <v>337.97370927908366</v>
      </c>
      <c r="D41" s="1">
        <v>380.91299201536071</v>
      </c>
    </row>
    <row r="42" spans="1:4" x14ac:dyDescent="0.2">
      <c r="A42" s="1">
        <v>141.36357916145201</v>
      </c>
      <c r="B42" s="1">
        <v>195.08173924280376</v>
      </c>
      <c r="C42" s="1">
        <v>344.92713315394292</v>
      </c>
      <c r="D42" s="1">
        <v>388.749842693993</v>
      </c>
    </row>
    <row r="43" spans="1:4" x14ac:dyDescent="0.2">
      <c r="A43" s="1">
        <v>121.041123513259</v>
      </c>
      <c r="B43" s="1">
        <v>167.0367504482974</v>
      </c>
      <c r="C43" s="1">
        <v>295.34034137235193</v>
      </c>
      <c r="D43" s="1">
        <v>332.86308966146225</v>
      </c>
    </row>
    <row r="44" spans="1:4" x14ac:dyDescent="0.2">
      <c r="A44" s="1">
        <v>125.082896197872</v>
      </c>
      <c r="B44" s="1">
        <v>172.61439675306335</v>
      </c>
      <c r="C44" s="1">
        <v>305.20226672280768</v>
      </c>
      <c r="D44" s="1">
        <v>343.97796454414799</v>
      </c>
    </row>
    <row r="45" spans="1:4" x14ac:dyDescent="0.2">
      <c r="A45" s="1">
        <v>103.149793633898</v>
      </c>
      <c r="B45" s="1">
        <v>142.34671521477924</v>
      </c>
      <c r="C45" s="1">
        <v>251.6854964667111</v>
      </c>
      <c r="D45" s="1">
        <v>283.66193249321952</v>
      </c>
    </row>
    <row r="46" spans="1:4" x14ac:dyDescent="0.2">
      <c r="A46" s="1">
        <v>89.969965058874394</v>
      </c>
      <c r="B46" s="1">
        <v>124.15855178124666</v>
      </c>
      <c r="C46" s="1">
        <v>219.52671474365351</v>
      </c>
      <c r="D46" s="1">
        <v>247.41740391190459</v>
      </c>
    </row>
    <row r="47" spans="1:4" x14ac:dyDescent="0.2">
      <c r="A47" s="1">
        <v>98.716586716480606</v>
      </c>
      <c r="B47" s="1">
        <v>136.22888966874322</v>
      </c>
      <c r="C47" s="1">
        <v>240.86847158821269</v>
      </c>
      <c r="D47" s="1">
        <v>271.47061347032167</v>
      </c>
    </row>
    <row r="48" spans="1:4" x14ac:dyDescent="0.2">
      <c r="A48" s="1">
        <v>84.937230509613698</v>
      </c>
      <c r="B48" s="1">
        <v>117.21337810326689</v>
      </c>
      <c r="C48" s="1">
        <v>207.24684244345741</v>
      </c>
      <c r="D48" s="1">
        <v>233.57738390143766</v>
      </c>
    </row>
    <row r="49" spans="1:4" x14ac:dyDescent="0.2">
      <c r="A49" s="1">
        <v>114.61223475370301</v>
      </c>
      <c r="B49" s="1">
        <v>158.16488396011013</v>
      </c>
      <c r="C49" s="1">
        <v>279.65385279903535</v>
      </c>
      <c r="D49" s="1">
        <v>315.18364557268325</v>
      </c>
    </row>
    <row r="50" spans="1:4" x14ac:dyDescent="0.2">
      <c r="A50" s="1">
        <v>93.778949587037005</v>
      </c>
      <c r="B50" s="1">
        <v>129.41495043011105</v>
      </c>
      <c r="C50" s="1">
        <v>228.82063699237028</v>
      </c>
      <c r="D50" s="1">
        <v>257.89211136435176</v>
      </c>
    </row>
    <row r="51" spans="1:4" x14ac:dyDescent="0.2">
      <c r="A51" s="1">
        <v>76.757011581777704</v>
      </c>
      <c r="B51" s="1">
        <v>105.92467598285322</v>
      </c>
      <c r="C51" s="1">
        <v>187.2871082595376</v>
      </c>
      <c r="D51" s="1">
        <v>211.08178184988867</v>
      </c>
    </row>
    <row r="52" spans="1:4" x14ac:dyDescent="0.2">
      <c r="A52" s="1">
        <v>65.938511756236906</v>
      </c>
      <c r="B52" s="1">
        <v>90.995146223606923</v>
      </c>
      <c r="C52" s="1">
        <v>160.88996868521804</v>
      </c>
      <c r="D52" s="1">
        <v>181.3309073296515</v>
      </c>
    </row>
    <row r="53" spans="1:4" x14ac:dyDescent="0.2">
      <c r="A53" s="1">
        <v>57.566604922787398</v>
      </c>
      <c r="B53" s="1">
        <v>79.4419147934466</v>
      </c>
      <c r="C53" s="1">
        <v>140.46251601160125</v>
      </c>
      <c r="D53" s="1">
        <v>158.30816353766534</v>
      </c>
    </row>
    <row r="54" spans="1:4" x14ac:dyDescent="0.2">
      <c r="A54" s="1">
        <v>53.276284419921801</v>
      </c>
      <c r="B54" s="1">
        <v>73.521272499492085</v>
      </c>
      <c r="C54" s="1">
        <v>129.99413398460919</v>
      </c>
      <c r="D54" s="1">
        <v>146.50978215478494</v>
      </c>
    </row>
    <row r="55" spans="1:4" x14ac:dyDescent="0.2">
      <c r="A55" s="1">
        <v>66.473951805633803</v>
      </c>
      <c r="B55" s="1">
        <v>91.734053491774645</v>
      </c>
      <c r="C55" s="1">
        <v>162.19644240574647</v>
      </c>
      <c r="D55" s="1">
        <v>182.80336746549295</v>
      </c>
    </row>
    <row r="56" spans="1:4" x14ac:dyDescent="0.2">
      <c r="A56" s="1">
        <v>73.907677867777707</v>
      </c>
      <c r="B56" s="1">
        <v>101.99259545753323</v>
      </c>
      <c r="C56" s="1">
        <v>180.33473399737761</v>
      </c>
      <c r="D56" s="1">
        <v>203.24611413638868</v>
      </c>
    </row>
    <row r="57" spans="1:4" x14ac:dyDescent="0.2">
      <c r="A57" s="1">
        <v>54.8640687748888</v>
      </c>
      <c r="B57" s="1">
        <v>75.712414909346535</v>
      </c>
      <c r="C57" s="1">
        <v>133.86832781072866</v>
      </c>
      <c r="D57" s="1">
        <v>150.8761891309442</v>
      </c>
    </row>
    <row r="58" spans="1:4" x14ac:dyDescent="0.2">
      <c r="A58" s="1">
        <v>33.193944377129597</v>
      </c>
      <c r="B58" s="1">
        <v>45.807643240438843</v>
      </c>
      <c r="C58" s="1">
        <v>80.993224280196216</v>
      </c>
      <c r="D58" s="1">
        <v>91.283347037106395</v>
      </c>
    </row>
    <row r="59" spans="1:4" x14ac:dyDescent="0.2">
      <c r="A59" s="1">
        <v>28.36619880992</v>
      </c>
      <c r="B59" s="1">
        <v>39.145354357689598</v>
      </c>
      <c r="C59" s="1">
        <v>69.213525096204805</v>
      </c>
      <c r="D59" s="1">
        <v>78.007046727279999</v>
      </c>
    </row>
    <row r="60" spans="1:4" x14ac:dyDescent="0.2">
      <c r="A60" s="1">
        <v>39.987491792676003</v>
      </c>
      <c r="B60" s="1">
        <v>55.182738673892878</v>
      </c>
      <c r="C60" s="1">
        <v>97.56947997412945</v>
      </c>
      <c r="D60" s="1">
        <v>109.965602429859</v>
      </c>
    </row>
    <row r="61" spans="1:4" x14ac:dyDescent="0.2">
      <c r="A61" s="1">
        <v>21.443794458190698</v>
      </c>
      <c r="B61" s="1">
        <v>29.59243635230316</v>
      </c>
      <c r="C61" s="1">
        <v>52.322858477985299</v>
      </c>
      <c r="D61" s="1">
        <v>58.970434760024418</v>
      </c>
    </row>
    <row r="62" spans="1:4" x14ac:dyDescent="0.2">
      <c r="A62" s="1">
        <v>21.490367628585499</v>
      </c>
      <c r="B62" s="1">
        <v>29.656707327447986</v>
      </c>
      <c r="C62" s="1">
        <v>52.436497013748614</v>
      </c>
      <c r="D62" s="1">
        <v>59.098510978610122</v>
      </c>
    </row>
    <row r="63" spans="1:4" x14ac:dyDescent="0.2">
      <c r="A63" s="1">
        <v>38.667076034785701</v>
      </c>
      <c r="B63" s="1">
        <v>53.360564928004266</v>
      </c>
      <c r="C63" s="1">
        <v>94.347665524877115</v>
      </c>
      <c r="D63" s="1">
        <v>106.33445909566068</v>
      </c>
    </row>
    <row r="64" spans="1:4" x14ac:dyDescent="0.2">
      <c r="A64" s="1">
        <v>39.755206412085798</v>
      </c>
      <c r="B64" s="1">
        <v>54.862184848678396</v>
      </c>
      <c r="C64" s="1">
        <v>97.002703645489348</v>
      </c>
      <c r="D64" s="1">
        <v>109.32681763323595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B5CE-A115-4303-9A01-72219BA5DE20}">
  <dimension ref="A1:D64"/>
  <sheetViews>
    <sheetView workbookViewId="0">
      <selection activeCell="G9" sqref="G9"/>
    </sheetView>
  </sheetViews>
  <sheetFormatPr defaultRowHeight="14.25" x14ac:dyDescent="0.2"/>
  <sheetData>
    <row r="1" spans="1:4" x14ac:dyDescent="0.2">
      <c r="A1" s="1">
        <v>1.6165647551942599</v>
      </c>
      <c r="B1" s="1">
        <f>A1*0.99</f>
        <v>1.6003991076423172</v>
      </c>
      <c r="C1" s="1">
        <f>A1*1.59</f>
        <v>2.5703379607588732</v>
      </c>
      <c r="D1" s="1">
        <f>A1*2.07</f>
        <v>3.346289043252118</v>
      </c>
    </row>
    <row r="2" spans="1:4" x14ac:dyDescent="0.2">
      <c r="A2" s="1">
        <v>1.8067488440406401</v>
      </c>
      <c r="B2" s="1">
        <f t="shared" ref="B2:B64" si="0">A2*0.99</f>
        <v>1.7886813556002337</v>
      </c>
      <c r="C2" s="1">
        <f t="shared" ref="C2:C64" si="1">A2*1.59</f>
        <v>2.872730662024618</v>
      </c>
      <c r="D2" s="1">
        <f t="shared" ref="D2:D64" si="2">A2*2.07</f>
        <v>3.7399701071641247</v>
      </c>
    </row>
    <row r="3" spans="1:4" x14ac:dyDescent="0.2">
      <c r="A3" s="1">
        <v>1.99693293288702</v>
      </c>
      <c r="B3" s="1">
        <f t="shared" si="0"/>
        <v>1.9769636035581497</v>
      </c>
      <c r="C3" s="1">
        <f t="shared" si="1"/>
        <v>3.1751233632903619</v>
      </c>
      <c r="D3" s="1">
        <f t="shared" si="2"/>
        <v>4.1336511710761314</v>
      </c>
    </row>
    <row r="4" spans="1:4" x14ac:dyDescent="0.2">
      <c r="A4" s="1">
        <v>2.1871170217334099</v>
      </c>
      <c r="B4" s="1">
        <f t="shared" si="0"/>
        <v>2.165245851516076</v>
      </c>
      <c r="C4" s="1">
        <f t="shared" si="1"/>
        <v>3.4775160645561218</v>
      </c>
      <c r="D4" s="1">
        <f t="shared" si="2"/>
        <v>4.5273322349881582</v>
      </c>
    </row>
    <row r="5" spans="1:4" x14ac:dyDescent="0.2">
      <c r="A5" s="1">
        <v>2.3773011105797899</v>
      </c>
      <c r="B5" s="1">
        <f t="shared" si="0"/>
        <v>2.353528099473992</v>
      </c>
      <c r="C5" s="1">
        <f t="shared" si="1"/>
        <v>3.7799087658218662</v>
      </c>
      <c r="D5" s="1">
        <f t="shared" si="2"/>
        <v>4.9210132989001645</v>
      </c>
    </row>
    <row r="6" spans="1:4" x14ac:dyDescent="0.2">
      <c r="A6" s="1">
        <v>2.56748519942618</v>
      </c>
      <c r="B6" s="1">
        <f t="shared" si="0"/>
        <v>2.5418103474319182</v>
      </c>
      <c r="C6" s="1">
        <f t="shared" si="1"/>
        <v>4.0823014670876265</v>
      </c>
      <c r="D6" s="1">
        <f t="shared" si="2"/>
        <v>5.3146943628121921</v>
      </c>
    </row>
    <row r="7" spans="1:4" x14ac:dyDescent="0.2">
      <c r="A7" s="1">
        <v>2.75766928827256</v>
      </c>
      <c r="B7" s="1">
        <f t="shared" si="0"/>
        <v>2.7300925953898343</v>
      </c>
      <c r="C7" s="1">
        <f t="shared" si="1"/>
        <v>4.3846941683533709</v>
      </c>
      <c r="D7" s="1">
        <f t="shared" si="2"/>
        <v>5.7083754267241984</v>
      </c>
    </row>
    <row r="8" spans="1:4" x14ac:dyDescent="0.2">
      <c r="A8" s="1">
        <v>2.9478533771189399</v>
      </c>
      <c r="B8" s="1">
        <f t="shared" si="0"/>
        <v>2.9183748433477503</v>
      </c>
      <c r="C8" s="1">
        <f t="shared" si="1"/>
        <v>4.6870868696191144</v>
      </c>
      <c r="D8" s="1">
        <f t="shared" si="2"/>
        <v>6.1020564906362047</v>
      </c>
    </row>
    <row r="9" spans="1:4" x14ac:dyDescent="0.2">
      <c r="A9" s="1">
        <v>3.1380374659653301</v>
      </c>
      <c r="B9" s="1">
        <f t="shared" si="0"/>
        <v>3.1066570913056766</v>
      </c>
      <c r="C9" s="1">
        <f t="shared" si="1"/>
        <v>4.9894795708848747</v>
      </c>
      <c r="D9" s="1">
        <f t="shared" si="2"/>
        <v>6.4957375545482323</v>
      </c>
    </row>
    <row r="10" spans="1:4" x14ac:dyDescent="0.2">
      <c r="A10" s="1">
        <v>3.32822155481171</v>
      </c>
      <c r="B10" s="1">
        <f t="shared" si="0"/>
        <v>3.2949393392635931</v>
      </c>
      <c r="C10" s="1">
        <f t="shared" si="1"/>
        <v>5.2918722721506191</v>
      </c>
      <c r="D10" s="1">
        <f t="shared" si="2"/>
        <v>6.8894186184602395</v>
      </c>
    </row>
    <row r="11" spans="1:4" x14ac:dyDescent="0.2">
      <c r="A11" s="1">
        <v>3.5184056436580899</v>
      </c>
      <c r="B11" s="1">
        <f t="shared" si="0"/>
        <v>3.4832215872215091</v>
      </c>
      <c r="C11" s="1">
        <f t="shared" si="1"/>
        <v>5.5942649734163634</v>
      </c>
      <c r="D11" s="1">
        <f t="shared" si="2"/>
        <v>7.2830996823722458</v>
      </c>
    </row>
    <row r="12" spans="1:4" x14ac:dyDescent="0.2">
      <c r="A12" s="1">
        <v>25.725072747275799</v>
      </c>
      <c r="B12" s="1">
        <f t="shared" si="0"/>
        <v>25.467822019803041</v>
      </c>
      <c r="C12" s="1">
        <f t="shared" si="1"/>
        <v>40.902865668168523</v>
      </c>
      <c r="D12" s="1">
        <f t="shared" si="2"/>
        <v>53.250900586860901</v>
      </c>
    </row>
    <row r="13" spans="1:4" x14ac:dyDescent="0.2">
      <c r="A13" s="1">
        <v>42.203520124948099</v>
      </c>
      <c r="B13" s="1">
        <f t="shared" si="0"/>
        <v>41.781484923698621</v>
      </c>
      <c r="C13" s="1">
        <f t="shared" si="1"/>
        <v>67.103596998667484</v>
      </c>
      <c r="D13" s="1">
        <f t="shared" si="2"/>
        <v>87.361286658642555</v>
      </c>
    </row>
    <row r="14" spans="1:4" x14ac:dyDescent="0.2">
      <c r="A14" s="1">
        <v>53.983061488275801</v>
      </c>
      <c r="B14" s="1">
        <f t="shared" si="0"/>
        <v>53.443230873393041</v>
      </c>
      <c r="C14" s="1">
        <f t="shared" si="1"/>
        <v>85.833067766358525</v>
      </c>
      <c r="D14" s="1">
        <f t="shared" si="2"/>
        <v>111.74493728073089</v>
      </c>
    </row>
    <row r="15" spans="1:4" x14ac:dyDescent="0.2">
      <c r="A15" s="1">
        <v>70.662783584827594</v>
      </c>
      <c r="B15" s="1">
        <f t="shared" si="0"/>
        <v>69.956155748979313</v>
      </c>
      <c r="C15" s="1">
        <f t="shared" si="1"/>
        <v>112.35382589987589</v>
      </c>
      <c r="D15" s="1">
        <f t="shared" si="2"/>
        <v>146.27196202059309</v>
      </c>
    </row>
    <row r="16" spans="1:4" x14ac:dyDescent="0.2">
      <c r="A16" s="1">
        <v>213.768768824137</v>
      </c>
      <c r="B16" s="1">
        <f t="shared" si="0"/>
        <v>211.63108113589561</v>
      </c>
      <c r="C16" s="1">
        <f t="shared" si="1"/>
        <v>339.89234243037782</v>
      </c>
      <c r="D16" s="1">
        <f t="shared" si="2"/>
        <v>442.50135146596358</v>
      </c>
    </row>
    <row r="17" spans="1:4" x14ac:dyDescent="0.2">
      <c r="A17" s="1">
        <v>700.15222037068895</v>
      </c>
      <c r="B17" s="1">
        <f t="shared" si="0"/>
        <v>693.15069816698201</v>
      </c>
      <c r="C17" s="1">
        <f t="shared" si="1"/>
        <v>1113.2420303893955</v>
      </c>
      <c r="D17" s="1">
        <f t="shared" si="2"/>
        <v>1449.3150961673259</v>
      </c>
    </row>
    <row r="18" spans="1:4" x14ac:dyDescent="0.2">
      <c r="A18" s="1">
        <v>1046.21003541666</v>
      </c>
      <c r="B18" s="1">
        <f t="shared" si="0"/>
        <v>1035.7479350624935</v>
      </c>
      <c r="C18" s="1">
        <f t="shared" si="1"/>
        <v>1663.4739563124895</v>
      </c>
      <c r="D18" s="1">
        <f t="shared" si="2"/>
        <v>2165.6547733124862</v>
      </c>
    </row>
    <row r="19" spans="1:4" x14ac:dyDescent="0.2">
      <c r="A19" s="1">
        <v>934.67106248275797</v>
      </c>
      <c r="B19" s="1">
        <f t="shared" si="0"/>
        <v>925.32435185793042</v>
      </c>
      <c r="C19" s="1">
        <f t="shared" si="1"/>
        <v>1486.1269893475853</v>
      </c>
      <c r="D19" s="1">
        <f t="shared" si="2"/>
        <v>1934.7690993393089</v>
      </c>
    </row>
    <row r="20" spans="1:4" x14ac:dyDescent="0.2">
      <c r="A20" s="1">
        <v>1297.9968306363601</v>
      </c>
      <c r="B20" s="1">
        <f t="shared" si="0"/>
        <v>1285.0168623299965</v>
      </c>
      <c r="C20" s="1">
        <f t="shared" si="1"/>
        <v>2063.8149607118125</v>
      </c>
      <c r="D20" s="1">
        <f t="shared" si="2"/>
        <v>2686.8534394172652</v>
      </c>
    </row>
    <row r="21" spans="1:4" x14ac:dyDescent="0.2">
      <c r="A21" s="1">
        <v>1386.0606096363599</v>
      </c>
      <c r="B21" s="1">
        <f t="shared" si="0"/>
        <v>1372.2000035399963</v>
      </c>
      <c r="C21" s="1">
        <f t="shared" si="1"/>
        <v>2203.8363693218125</v>
      </c>
      <c r="D21" s="1">
        <f t="shared" si="2"/>
        <v>2869.1454619472647</v>
      </c>
    </row>
    <row r="22" spans="1:4" x14ac:dyDescent="0.2">
      <c r="A22" s="1">
        <v>1437.85460965517</v>
      </c>
      <c r="B22" s="1">
        <f t="shared" si="0"/>
        <v>1423.4760635586183</v>
      </c>
      <c r="C22" s="1">
        <f t="shared" si="1"/>
        <v>2286.1888293517204</v>
      </c>
      <c r="D22" s="1">
        <f t="shared" si="2"/>
        <v>2976.3590419862016</v>
      </c>
    </row>
    <row r="23" spans="1:4" x14ac:dyDescent="0.2">
      <c r="A23" s="1">
        <v>1551.3701748000001</v>
      </c>
      <c r="B23" s="1">
        <f t="shared" si="0"/>
        <v>1535.8564730520002</v>
      </c>
      <c r="C23" s="1">
        <f t="shared" si="1"/>
        <v>2466.6785779320003</v>
      </c>
      <c r="D23" s="1">
        <f t="shared" si="2"/>
        <v>3211.3362618359997</v>
      </c>
    </row>
    <row r="24" spans="1:4" x14ac:dyDescent="0.2">
      <c r="A24" s="1">
        <v>1667.61309828712</v>
      </c>
      <c r="B24" s="1">
        <f t="shared" si="0"/>
        <v>1650.9369673042488</v>
      </c>
      <c r="C24" s="1">
        <f t="shared" si="1"/>
        <v>2651.5048262765208</v>
      </c>
      <c r="D24" s="1">
        <f t="shared" si="2"/>
        <v>3451.959113454338</v>
      </c>
    </row>
    <row r="25" spans="1:4" x14ac:dyDescent="0.2">
      <c r="A25" s="1">
        <v>1752.0443425287301</v>
      </c>
      <c r="B25" s="1">
        <f t="shared" si="0"/>
        <v>1734.5238991034428</v>
      </c>
      <c r="C25" s="1">
        <f t="shared" si="1"/>
        <v>2785.7505046206811</v>
      </c>
      <c r="D25" s="1">
        <f t="shared" si="2"/>
        <v>3626.7317890344711</v>
      </c>
    </row>
    <row r="26" spans="1:4" x14ac:dyDescent="0.2">
      <c r="A26" s="1">
        <v>1989.143335125</v>
      </c>
      <c r="B26" s="1">
        <f t="shared" si="0"/>
        <v>1969.25190177375</v>
      </c>
      <c r="C26" s="1">
        <f t="shared" si="1"/>
        <v>3162.7379028487503</v>
      </c>
      <c r="D26" s="1">
        <f t="shared" si="2"/>
        <v>4117.5267037087497</v>
      </c>
    </row>
    <row r="27" spans="1:4" x14ac:dyDescent="0.2">
      <c r="A27" s="1">
        <v>2342.26501206896</v>
      </c>
      <c r="B27" s="1">
        <f t="shared" si="0"/>
        <v>2318.8423619482705</v>
      </c>
      <c r="C27" s="1">
        <f t="shared" si="1"/>
        <v>3724.2013691896468</v>
      </c>
      <c r="D27" s="1">
        <f t="shared" si="2"/>
        <v>4848.4885749827472</v>
      </c>
    </row>
    <row r="28" spans="1:4" x14ac:dyDescent="0.2">
      <c r="A28" s="1">
        <v>2476.16027669306</v>
      </c>
      <c r="B28" s="1">
        <f t="shared" si="0"/>
        <v>2451.3986739261295</v>
      </c>
      <c r="C28" s="1">
        <f t="shared" si="1"/>
        <v>3937.0948399419658</v>
      </c>
      <c r="D28" s="1">
        <f t="shared" si="2"/>
        <v>5125.6517727546343</v>
      </c>
    </row>
    <row r="29" spans="1:4" x14ac:dyDescent="0.2">
      <c r="A29" s="1">
        <v>2610.6464191724099</v>
      </c>
      <c r="B29" s="1">
        <f t="shared" si="0"/>
        <v>2584.5399549806857</v>
      </c>
      <c r="C29" s="1">
        <f t="shared" si="1"/>
        <v>4150.9278064841319</v>
      </c>
      <c r="D29" s="1">
        <f t="shared" si="2"/>
        <v>5404.0380876868876</v>
      </c>
    </row>
    <row r="30" spans="1:4" x14ac:dyDescent="0.2">
      <c r="A30" s="1">
        <v>2709.12966409404</v>
      </c>
      <c r="B30" s="1">
        <f t="shared" si="0"/>
        <v>2682.0383674530995</v>
      </c>
      <c r="C30" s="1">
        <f t="shared" si="1"/>
        <v>4307.5161659095238</v>
      </c>
      <c r="D30" s="1">
        <f t="shared" si="2"/>
        <v>5607.8984046746627</v>
      </c>
    </row>
    <row r="31" spans="1:4" x14ac:dyDescent="0.2">
      <c r="A31" s="1">
        <v>2711.0641615862</v>
      </c>
      <c r="B31" s="1">
        <f t="shared" si="0"/>
        <v>2683.9535199703382</v>
      </c>
      <c r="C31" s="1">
        <f t="shared" si="1"/>
        <v>4310.5920169220581</v>
      </c>
      <c r="D31" s="1">
        <f t="shared" si="2"/>
        <v>5611.9028144834338</v>
      </c>
    </row>
    <row r="32" spans="1:4" x14ac:dyDescent="0.2">
      <c r="A32" s="1">
        <v>2684.2529382586199</v>
      </c>
      <c r="B32" s="1">
        <f t="shared" si="0"/>
        <v>2657.4104088760337</v>
      </c>
      <c r="C32" s="1">
        <f t="shared" si="1"/>
        <v>4267.9621718312055</v>
      </c>
      <c r="D32" s="1">
        <f t="shared" si="2"/>
        <v>5556.403582195343</v>
      </c>
    </row>
    <row r="33" spans="1:4" x14ac:dyDescent="0.2">
      <c r="A33" s="1">
        <v>2590.1035996000001</v>
      </c>
      <c r="B33" s="1">
        <f t="shared" si="0"/>
        <v>2564.2025636039998</v>
      </c>
      <c r="C33" s="1">
        <f t="shared" si="1"/>
        <v>4118.264723364</v>
      </c>
      <c r="D33" s="1">
        <f t="shared" si="2"/>
        <v>5361.514451172</v>
      </c>
    </row>
    <row r="34" spans="1:4" x14ac:dyDescent="0.2">
      <c r="A34" s="1">
        <v>2594.51619513793</v>
      </c>
      <c r="B34" s="1">
        <f t="shared" si="0"/>
        <v>2568.5710331865507</v>
      </c>
      <c r="C34" s="1">
        <f t="shared" si="1"/>
        <v>4125.2807502693086</v>
      </c>
      <c r="D34" s="1">
        <f t="shared" si="2"/>
        <v>5370.6485239355152</v>
      </c>
    </row>
    <row r="35" spans="1:4" x14ac:dyDescent="0.2">
      <c r="A35" s="1">
        <v>2528.02796893103</v>
      </c>
      <c r="B35" s="1">
        <f t="shared" si="0"/>
        <v>2502.7476892417199</v>
      </c>
      <c r="C35" s="1">
        <f t="shared" si="1"/>
        <v>4019.5644706003382</v>
      </c>
      <c r="D35" s="1">
        <f t="shared" si="2"/>
        <v>5233.0178956872314</v>
      </c>
    </row>
    <row r="36" spans="1:4" x14ac:dyDescent="0.2">
      <c r="A36" s="1">
        <v>2480.3812211793102</v>
      </c>
      <c r="B36" s="1">
        <f t="shared" si="0"/>
        <v>2455.5774089675169</v>
      </c>
      <c r="C36" s="1">
        <f t="shared" si="1"/>
        <v>3943.8061416751034</v>
      </c>
      <c r="D36" s="1">
        <f t="shared" si="2"/>
        <v>5134.389127841172</v>
      </c>
    </row>
    <row r="37" spans="1:4" x14ac:dyDescent="0.2">
      <c r="A37" s="1">
        <v>2401.5426310283401</v>
      </c>
      <c r="B37" s="1">
        <f t="shared" si="0"/>
        <v>2377.5272047180565</v>
      </c>
      <c r="C37" s="1">
        <f t="shared" si="1"/>
        <v>3818.4527833350608</v>
      </c>
      <c r="D37" s="1">
        <f t="shared" si="2"/>
        <v>4971.1932462286641</v>
      </c>
    </row>
    <row r="38" spans="1:4" x14ac:dyDescent="0.2">
      <c r="A38" s="1">
        <v>2341.8407593684201</v>
      </c>
      <c r="B38" s="1">
        <f t="shared" si="0"/>
        <v>2318.4223517747359</v>
      </c>
      <c r="C38" s="1">
        <f t="shared" si="1"/>
        <v>3723.5268073957882</v>
      </c>
      <c r="D38" s="1">
        <f t="shared" si="2"/>
        <v>4847.6103718926288</v>
      </c>
    </row>
    <row r="39" spans="1:4" x14ac:dyDescent="0.2">
      <c r="A39" s="1">
        <v>2292.3166721745401</v>
      </c>
      <c r="B39" s="1">
        <f t="shared" si="0"/>
        <v>2269.3935054527947</v>
      </c>
      <c r="C39" s="1">
        <f t="shared" si="1"/>
        <v>3644.783508757519</v>
      </c>
      <c r="D39" s="1">
        <f t="shared" si="2"/>
        <v>4745.0955114012977</v>
      </c>
    </row>
    <row r="40" spans="1:4" x14ac:dyDescent="0.2">
      <c r="A40" s="1">
        <v>2238.52246940229</v>
      </c>
      <c r="B40" s="1">
        <f t="shared" si="0"/>
        <v>2216.1372447082672</v>
      </c>
      <c r="C40" s="1">
        <f t="shared" si="1"/>
        <v>3559.2507263496414</v>
      </c>
      <c r="D40" s="1">
        <f t="shared" si="2"/>
        <v>4633.7415116627399</v>
      </c>
    </row>
    <row r="41" spans="1:4" x14ac:dyDescent="0.2">
      <c r="A41" s="1">
        <v>2147.2885225057398</v>
      </c>
      <c r="B41" s="1">
        <f t="shared" si="0"/>
        <v>2125.8156372806825</v>
      </c>
      <c r="C41" s="1">
        <f t="shared" si="1"/>
        <v>3414.1887507841266</v>
      </c>
      <c r="D41" s="1">
        <f t="shared" si="2"/>
        <v>4444.8872415868809</v>
      </c>
    </row>
    <row r="42" spans="1:4" x14ac:dyDescent="0.2">
      <c r="A42" s="1">
        <v>2079.7457591428501</v>
      </c>
      <c r="B42" s="1">
        <f t="shared" si="0"/>
        <v>2058.9483015514215</v>
      </c>
      <c r="C42" s="1">
        <f t="shared" si="1"/>
        <v>3306.7957570371318</v>
      </c>
      <c r="D42" s="1">
        <f t="shared" si="2"/>
        <v>4305.0737214256997</v>
      </c>
    </row>
    <row r="43" spans="1:4" x14ac:dyDescent="0.2">
      <c r="A43" s="1">
        <v>2015.6575256413701</v>
      </c>
      <c r="B43" s="1">
        <f t="shared" si="0"/>
        <v>1995.5009503849562</v>
      </c>
      <c r="C43" s="1">
        <f t="shared" si="1"/>
        <v>3204.8954657697786</v>
      </c>
      <c r="D43" s="1">
        <f t="shared" si="2"/>
        <v>4172.4110780776355</v>
      </c>
    </row>
    <row r="44" spans="1:4" x14ac:dyDescent="0.2">
      <c r="A44" s="1">
        <v>1945.2620803999901</v>
      </c>
      <c r="B44" s="1">
        <f t="shared" si="0"/>
        <v>1925.8094595959901</v>
      </c>
      <c r="C44" s="1">
        <f t="shared" si="1"/>
        <v>3092.9667078359844</v>
      </c>
      <c r="D44" s="1">
        <f t="shared" si="2"/>
        <v>4026.692506427979</v>
      </c>
    </row>
    <row r="45" spans="1:4" x14ac:dyDescent="0.2">
      <c r="A45" s="1">
        <v>1888.79695609482</v>
      </c>
      <c r="B45" s="1">
        <f t="shared" si="0"/>
        <v>1869.9089865338717</v>
      </c>
      <c r="C45" s="1">
        <f t="shared" si="1"/>
        <v>3003.1871601907637</v>
      </c>
      <c r="D45" s="1">
        <f t="shared" si="2"/>
        <v>3909.809699116277</v>
      </c>
    </row>
    <row r="46" spans="1:4" x14ac:dyDescent="0.2">
      <c r="A46" s="1">
        <v>1826.94855218103</v>
      </c>
      <c r="B46" s="1">
        <f t="shared" si="0"/>
        <v>1808.6790666592196</v>
      </c>
      <c r="C46" s="1">
        <f t="shared" si="1"/>
        <v>2904.8481979678377</v>
      </c>
      <c r="D46" s="1">
        <f t="shared" si="2"/>
        <v>3781.7835030147317</v>
      </c>
    </row>
    <row r="47" spans="1:4" x14ac:dyDescent="0.2">
      <c r="A47" s="1">
        <v>1778.7146304877999</v>
      </c>
      <c r="B47" s="1">
        <f t="shared" si="0"/>
        <v>1760.9274841829219</v>
      </c>
      <c r="C47" s="1">
        <f t="shared" si="1"/>
        <v>2828.156262475602</v>
      </c>
      <c r="D47" s="1">
        <f t="shared" si="2"/>
        <v>3681.9392851097455</v>
      </c>
    </row>
    <row r="48" spans="1:4" x14ac:dyDescent="0.2">
      <c r="A48" s="1">
        <v>1733.72244521982</v>
      </c>
      <c r="B48" s="1">
        <f t="shared" si="0"/>
        <v>1716.3852207676218</v>
      </c>
      <c r="C48" s="1">
        <f t="shared" si="1"/>
        <v>2756.618687899514</v>
      </c>
      <c r="D48" s="1">
        <f t="shared" si="2"/>
        <v>3588.8054616050272</v>
      </c>
    </row>
    <row r="49" spans="1:4" x14ac:dyDescent="0.2">
      <c r="A49" s="1">
        <v>1690.8841023269199</v>
      </c>
      <c r="B49" s="1">
        <f t="shared" si="0"/>
        <v>1673.9752613036508</v>
      </c>
      <c r="C49" s="1">
        <f t="shared" si="1"/>
        <v>2688.5057226998028</v>
      </c>
      <c r="D49" s="1">
        <f t="shared" si="2"/>
        <v>3500.130091816724</v>
      </c>
    </row>
    <row r="50" spans="1:4" x14ac:dyDescent="0.2">
      <c r="A50" s="1">
        <v>1651.5958796346099</v>
      </c>
      <c r="B50" s="1">
        <f t="shared" si="0"/>
        <v>1635.0799208382639</v>
      </c>
      <c r="C50" s="1">
        <f t="shared" si="1"/>
        <v>2626.0374486190299</v>
      </c>
      <c r="D50" s="1">
        <f t="shared" si="2"/>
        <v>3418.8034708436421</v>
      </c>
    </row>
    <row r="51" spans="1:4" x14ac:dyDescent="0.2">
      <c r="A51" s="1">
        <v>1586.8557902812499</v>
      </c>
      <c r="B51" s="1">
        <f t="shared" si="0"/>
        <v>1570.9872323784375</v>
      </c>
      <c r="C51" s="1">
        <f t="shared" si="1"/>
        <v>2523.1007065471877</v>
      </c>
      <c r="D51" s="1">
        <f t="shared" si="2"/>
        <v>3284.7914858821873</v>
      </c>
    </row>
    <row r="52" spans="1:4" x14ac:dyDescent="0.2">
      <c r="A52" s="1">
        <v>1537.02931476967</v>
      </c>
      <c r="B52" s="1">
        <f t="shared" si="0"/>
        <v>1521.6590216219734</v>
      </c>
      <c r="C52" s="1">
        <f t="shared" si="1"/>
        <v>2443.8766104837755</v>
      </c>
      <c r="D52" s="1">
        <f t="shared" si="2"/>
        <v>3181.6506815732168</v>
      </c>
    </row>
    <row r="53" spans="1:4" x14ac:dyDescent="0.2">
      <c r="A53" s="1">
        <v>1489.11712724568</v>
      </c>
      <c r="B53" s="1">
        <f t="shared" si="0"/>
        <v>1474.2259559732231</v>
      </c>
      <c r="C53" s="1">
        <f t="shared" si="1"/>
        <v>2367.6962323206312</v>
      </c>
      <c r="D53" s="1">
        <f t="shared" si="2"/>
        <v>3082.4724533985573</v>
      </c>
    </row>
    <row r="54" spans="1:4" x14ac:dyDescent="0.2">
      <c r="A54" s="1">
        <v>1441.1828607586201</v>
      </c>
      <c r="B54" s="1">
        <f t="shared" si="0"/>
        <v>1426.771032151034</v>
      </c>
      <c r="C54" s="1">
        <f t="shared" si="1"/>
        <v>2291.4807486062059</v>
      </c>
      <c r="D54" s="1">
        <f t="shared" si="2"/>
        <v>2983.2485217703434</v>
      </c>
    </row>
    <row r="55" spans="1:4" x14ac:dyDescent="0.2">
      <c r="A55" s="1">
        <v>1392.2771198965499</v>
      </c>
      <c r="B55" s="1">
        <f t="shared" si="0"/>
        <v>1378.3543486975843</v>
      </c>
      <c r="C55" s="1">
        <f t="shared" si="1"/>
        <v>2213.7206206355145</v>
      </c>
      <c r="D55" s="1">
        <f t="shared" si="2"/>
        <v>2882.0136381858583</v>
      </c>
    </row>
    <row r="56" spans="1:4" x14ac:dyDescent="0.2">
      <c r="A56" s="1">
        <v>1342.8910434893601</v>
      </c>
      <c r="B56" s="1">
        <f t="shared" si="0"/>
        <v>1329.4621330544664</v>
      </c>
      <c r="C56" s="1">
        <f t="shared" si="1"/>
        <v>2135.1967591480825</v>
      </c>
      <c r="D56" s="1">
        <f t="shared" si="2"/>
        <v>2779.7844600229751</v>
      </c>
    </row>
    <row r="57" spans="1:4" x14ac:dyDescent="0.2">
      <c r="A57" s="1">
        <v>1288.58152774468</v>
      </c>
      <c r="B57" s="1">
        <f t="shared" si="0"/>
        <v>1275.6957124672331</v>
      </c>
      <c r="C57" s="1">
        <f t="shared" si="1"/>
        <v>2048.8446291140413</v>
      </c>
      <c r="D57" s="1">
        <f t="shared" si="2"/>
        <v>2667.3637624314874</v>
      </c>
    </row>
    <row r="58" spans="1:4" x14ac:dyDescent="0.2">
      <c r="A58" s="1">
        <v>1234.2720119999999</v>
      </c>
      <c r="B58" s="1">
        <f t="shared" si="0"/>
        <v>1221.9292918799999</v>
      </c>
      <c r="C58" s="1">
        <f t="shared" si="1"/>
        <v>1962.49249908</v>
      </c>
      <c r="D58" s="1">
        <f t="shared" si="2"/>
        <v>2554.9430648399998</v>
      </c>
    </row>
    <row r="59" spans="1:4" x14ac:dyDescent="0.2">
      <c r="A59" s="1">
        <v>1191.2271000000001</v>
      </c>
      <c r="B59" s="1">
        <f t="shared" si="0"/>
        <v>1179.3148290000001</v>
      </c>
      <c r="C59" s="1">
        <f t="shared" si="1"/>
        <v>1894.0510890000003</v>
      </c>
      <c r="D59" s="1">
        <f t="shared" si="2"/>
        <v>2465.8400969999998</v>
      </c>
    </row>
    <row r="60" spans="1:4" x14ac:dyDescent="0.2">
      <c r="A60" s="1">
        <v>1115.5134953965501</v>
      </c>
      <c r="B60" s="1">
        <f t="shared" si="0"/>
        <v>1104.3583604425846</v>
      </c>
      <c r="C60" s="1">
        <f t="shared" si="1"/>
        <v>1773.6664576805147</v>
      </c>
      <c r="D60" s="1">
        <f t="shared" si="2"/>
        <v>2309.1129354708582</v>
      </c>
    </row>
    <row r="61" spans="1:4" x14ac:dyDescent="0.2">
      <c r="A61" s="1">
        <v>976.50294254344794</v>
      </c>
      <c r="B61" s="1">
        <f t="shared" si="0"/>
        <v>966.73791311801347</v>
      </c>
      <c r="C61" s="1">
        <f t="shared" si="1"/>
        <v>1552.6396786440823</v>
      </c>
      <c r="D61" s="1">
        <f t="shared" si="2"/>
        <v>2021.361091064937</v>
      </c>
    </row>
    <row r="62" spans="1:4" x14ac:dyDescent="0.2">
      <c r="A62" s="1">
        <v>863.83699349080405</v>
      </c>
      <c r="B62" s="1">
        <f t="shared" si="0"/>
        <v>855.19862355589601</v>
      </c>
      <c r="C62" s="1">
        <f t="shared" si="1"/>
        <v>1373.5008196503786</v>
      </c>
      <c r="D62" s="1">
        <f t="shared" si="2"/>
        <v>1788.1425765259642</v>
      </c>
    </row>
    <row r="63" spans="1:4" x14ac:dyDescent="0.2">
      <c r="A63" s="1">
        <v>804.82131866230702</v>
      </c>
      <c r="B63" s="1">
        <f t="shared" si="0"/>
        <v>796.77310547568391</v>
      </c>
      <c r="C63" s="1">
        <f t="shared" si="1"/>
        <v>1279.6658966730681</v>
      </c>
      <c r="D63" s="1">
        <f t="shared" si="2"/>
        <v>1665.9801296309754</v>
      </c>
    </row>
    <row r="64" spans="1:4" x14ac:dyDescent="0.2">
      <c r="A64" s="1">
        <v>707.038637553846</v>
      </c>
      <c r="B64" s="1">
        <f t="shared" si="0"/>
        <v>699.96825117830758</v>
      </c>
      <c r="C64" s="1">
        <f t="shared" si="1"/>
        <v>1124.1914337106152</v>
      </c>
      <c r="D64" s="1">
        <f t="shared" si="2"/>
        <v>1463.5699797364612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DB3-8152-4243-9655-AEDD5963F628}">
  <dimension ref="A1:D65"/>
  <sheetViews>
    <sheetView workbookViewId="0">
      <selection activeCell="F53" sqref="F53"/>
    </sheetView>
  </sheetViews>
  <sheetFormatPr defaultRowHeight="14.25" x14ac:dyDescent="0.2"/>
  <sheetData>
    <row r="1" spans="1:4" x14ac:dyDescent="0.2">
      <c r="A1" s="1">
        <v>2147.7923030000002</v>
      </c>
      <c r="B1" s="1">
        <f>A1*0.85</f>
        <v>1825.62345755</v>
      </c>
      <c r="C1" s="1">
        <f>A1*1.42</f>
        <v>3049.8650702600003</v>
      </c>
      <c r="D1" s="1">
        <f>A1*1.86</f>
        <v>3994.8936835800005</v>
      </c>
    </row>
    <row r="2" spans="1:4" x14ac:dyDescent="0.2">
      <c r="A2" s="1">
        <v>2138.1037460252101</v>
      </c>
      <c r="B2" s="1">
        <f t="shared" ref="B2:B64" si="0">A2*0.85</f>
        <v>1817.3881841214286</v>
      </c>
      <c r="C2" s="1">
        <f t="shared" ref="C2:C64" si="1">A2*1.42</f>
        <v>3036.1073193557982</v>
      </c>
      <c r="D2" s="1">
        <f t="shared" ref="D2:D64" si="2">A2*1.86</f>
        <v>3976.8729676068911</v>
      </c>
    </row>
    <row r="3" spans="1:4" x14ac:dyDescent="0.2">
      <c r="A3" s="1">
        <v>2131.91110535915</v>
      </c>
      <c r="B3" s="1">
        <f t="shared" si="0"/>
        <v>1812.1244395552774</v>
      </c>
      <c r="C3" s="1">
        <f t="shared" si="1"/>
        <v>3027.313769609993</v>
      </c>
      <c r="D3" s="1">
        <f t="shared" si="2"/>
        <v>3965.3546559680194</v>
      </c>
    </row>
    <row r="4" spans="1:4" x14ac:dyDescent="0.2">
      <c r="A4" s="1">
        <v>2283.3194823346298</v>
      </c>
      <c r="B4" s="1">
        <f t="shared" si="0"/>
        <v>1940.8215599844352</v>
      </c>
      <c r="C4" s="1">
        <f t="shared" si="1"/>
        <v>3242.3136649151743</v>
      </c>
      <c r="D4" s="1">
        <f t="shared" si="2"/>
        <v>4246.9742371424118</v>
      </c>
    </row>
    <row r="5" spans="1:4" x14ac:dyDescent="0.2">
      <c r="A5" s="1">
        <v>2269.7652203890998</v>
      </c>
      <c r="B5" s="1">
        <f t="shared" si="0"/>
        <v>1929.3004373307347</v>
      </c>
      <c r="C5" s="1">
        <f t="shared" si="1"/>
        <v>3223.0666129525216</v>
      </c>
      <c r="D5" s="1">
        <f t="shared" si="2"/>
        <v>4221.7633099237255</v>
      </c>
    </row>
    <row r="6" spans="1:4" x14ac:dyDescent="0.2">
      <c r="A6" s="1">
        <v>2267.2510424454099</v>
      </c>
      <c r="B6" s="1">
        <f t="shared" si="0"/>
        <v>1927.1633860785983</v>
      </c>
      <c r="C6" s="1">
        <f t="shared" si="1"/>
        <v>3219.4964802724817</v>
      </c>
      <c r="D6" s="1">
        <f t="shared" si="2"/>
        <v>4217.0869389484624</v>
      </c>
    </row>
    <row r="7" spans="1:4" x14ac:dyDescent="0.2">
      <c r="A7" s="1">
        <v>2245.66719677842</v>
      </c>
      <c r="B7" s="1">
        <f t="shared" si="0"/>
        <v>1908.8171172616569</v>
      </c>
      <c r="C7" s="1">
        <f t="shared" si="1"/>
        <v>3188.8474194253563</v>
      </c>
      <c r="D7" s="1">
        <f t="shared" si="2"/>
        <v>4176.9409860078613</v>
      </c>
    </row>
    <row r="8" spans="1:4" x14ac:dyDescent="0.2">
      <c r="A8" s="1">
        <v>2204.5515243586001</v>
      </c>
      <c r="B8" s="1">
        <f t="shared" si="0"/>
        <v>1873.8687957048101</v>
      </c>
      <c r="C8" s="1">
        <f t="shared" si="1"/>
        <v>3130.4631645892118</v>
      </c>
      <c r="D8" s="1">
        <f t="shared" si="2"/>
        <v>4100.4658353069963</v>
      </c>
    </row>
    <row r="9" spans="1:4" x14ac:dyDescent="0.2">
      <c r="A9" s="1">
        <v>2268.3755925823798</v>
      </c>
      <c r="B9" s="1">
        <f t="shared" si="0"/>
        <v>1928.1192536950227</v>
      </c>
      <c r="C9" s="1">
        <f t="shared" si="1"/>
        <v>3221.0933414669789</v>
      </c>
      <c r="D9" s="1">
        <f t="shared" si="2"/>
        <v>4219.1786022032265</v>
      </c>
    </row>
    <row r="10" spans="1:4" x14ac:dyDescent="0.2">
      <c r="A10" s="1">
        <v>2395.9130747683498</v>
      </c>
      <c r="B10" s="1">
        <f t="shared" si="0"/>
        <v>2036.5261135530973</v>
      </c>
      <c r="C10" s="1">
        <f t="shared" si="1"/>
        <v>3402.1965661710565</v>
      </c>
      <c r="D10" s="1">
        <f t="shared" si="2"/>
        <v>4456.3983190691306</v>
      </c>
    </row>
    <row r="11" spans="1:4" x14ac:dyDescent="0.2">
      <c r="A11" s="1">
        <v>2523.4505569543198</v>
      </c>
      <c r="B11" s="1">
        <f t="shared" si="0"/>
        <v>2144.9329734111716</v>
      </c>
      <c r="C11" s="1">
        <f t="shared" si="1"/>
        <v>3583.299790875134</v>
      </c>
      <c r="D11" s="1">
        <f t="shared" si="2"/>
        <v>4693.6180359350356</v>
      </c>
    </row>
    <row r="12" spans="1:4" x14ac:dyDescent="0.2">
      <c r="A12" s="1">
        <v>3054.5031511951202</v>
      </c>
      <c r="B12" s="1">
        <f t="shared" si="0"/>
        <v>2596.3276785158519</v>
      </c>
      <c r="C12" s="1">
        <f t="shared" si="1"/>
        <v>4337.3944746970701</v>
      </c>
      <c r="D12" s="1">
        <f t="shared" si="2"/>
        <v>5681.375861222924</v>
      </c>
    </row>
    <row r="13" spans="1:4" x14ac:dyDescent="0.2">
      <c r="A13" s="1">
        <v>3717.8154538980798</v>
      </c>
      <c r="B13" s="1">
        <f t="shared" si="0"/>
        <v>3160.1431358133677</v>
      </c>
      <c r="C13" s="1">
        <f t="shared" si="1"/>
        <v>5279.297944535273</v>
      </c>
      <c r="D13" s="1">
        <f t="shared" si="2"/>
        <v>6915.1367442504288</v>
      </c>
    </row>
    <row r="14" spans="1:4" x14ac:dyDescent="0.2">
      <c r="A14" s="1">
        <v>3853.8721878654901</v>
      </c>
      <c r="B14" s="1">
        <f t="shared" si="0"/>
        <v>3275.7913596856665</v>
      </c>
      <c r="C14" s="1">
        <f t="shared" si="1"/>
        <v>5472.4985067689959</v>
      </c>
      <c r="D14" s="1">
        <f t="shared" si="2"/>
        <v>7168.2022694298121</v>
      </c>
    </row>
    <row r="15" spans="1:4" x14ac:dyDescent="0.2">
      <c r="A15" s="1">
        <v>3829.7194577526798</v>
      </c>
      <c r="B15" s="1">
        <f t="shared" si="0"/>
        <v>3255.2615390897777</v>
      </c>
      <c r="C15" s="1">
        <f t="shared" si="1"/>
        <v>5438.2016300088053</v>
      </c>
      <c r="D15" s="1">
        <f t="shared" si="2"/>
        <v>7123.278191419985</v>
      </c>
    </row>
    <row r="16" spans="1:4" x14ac:dyDescent="0.2">
      <c r="A16" s="1">
        <v>3767.2505378936098</v>
      </c>
      <c r="B16" s="1">
        <f t="shared" si="0"/>
        <v>3202.162957209568</v>
      </c>
      <c r="C16" s="1">
        <f t="shared" si="1"/>
        <v>5349.4957638089254</v>
      </c>
      <c r="D16" s="1">
        <f t="shared" si="2"/>
        <v>7007.0860004821143</v>
      </c>
    </row>
    <row r="17" spans="1:4" x14ac:dyDescent="0.2">
      <c r="A17" s="1">
        <v>3767.49652129787</v>
      </c>
      <c r="B17" s="1">
        <f t="shared" si="0"/>
        <v>3202.3720431031893</v>
      </c>
      <c r="C17" s="1">
        <f t="shared" si="1"/>
        <v>5349.8450602429748</v>
      </c>
      <c r="D17" s="1">
        <f t="shared" si="2"/>
        <v>7007.5435296140386</v>
      </c>
    </row>
    <row r="18" spans="1:4" x14ac:dyDescent="0.2">
      <c r="A18" s="1">
        <v>5143.6897357560902</v>
      </c>
      <c r="B18" s="1">
        <f t="shared" si="0"/>
        <v>4372.1362753926769</v>
      </c>
      <c r="C18" s="1">
        <f t="shared" si="1"/>
        <v>7304.0394247736476</v>
      </c>
      <c r="D18" s="1">
        <f t="shared" si="2"/>
        <v>9567.262908506329</v>
      </c>
    </row>
    <row r="19" spans="1:4" x14ac:dyDescent="0.2">
      <c r="A19" s="1">
        <v>5993.0865156183199</v>
      </c>
      <c r="B19" s="1">
        <f t="shared" si="0"/>
        <v>5094.1235382755722</v>
      </c>
      <c r="C19" s="1">
        <f t="shared" si="1"/>
        <v>8510.1828521780135</v>
      </c>
      <c r="D19" s="1">
        <f t="shared" si="2"/>
        <v>11147.140919050076</v>
      </c>
    </row>
    <row r="20" spans="1:4" x14ac:dyDescent="0.2">
      <c r="A20" s="1">
        <v>6057.8286190708604</v>
      </c>
      <c r="B20" s="1">
        <f t="shared" si="0"/>
        <v>5149.1543262102314</v>
      </c>
      <c r="C20" s="1">
        <f t="shared" si="1"/>
        <v>8602.1166390806211</v>
      </c>
      <c r="D20" s="1">
        <f t="shared" si="2"/>
        <v>11267.561231471802</v>
      </c>
    </row>
    <row r="21" spans="1:4" x14ac:dyDescent="0.2">
      <c r="A21" s="1">
        <v>6985.3001456197098</v>
      </c>
      <c r="B21" s="1">
        <f t="shared" si="0"/>
        <v>5937.505123776753</v>
      </c>
      <c r="C21" s="1">
        <f t="shared" si="1"/>
        <v>9919.1262067799871</v>
      </c>
      <c r="D21" s="1">
        <f t="shared" si="2"/>
        <v>12992.65827085266</v>
      </c>
    </row>
    <row r="22" spans="1:4" x14ac:dyDescent="0.2">
      <c r="A22" s="1">
        <v>7333.4188272873498</v>
      </c>
      <c r="B22" s="1">
        <f t="shared" si="0"/>
        <v>6233.4060031942472</v>
      </c>
      <c r="C22" s="1">
        <f t="shared" si="1"/>
        <v>10413.454734748037</v>
      </c>
      <c r="D22" s="1">
        <f t="shared" si="2"/>
        <v>13640.159018754472</v>
      </c>
    </row>
    <row r="23" spans="1:4" x14ac:dyDescent="0.2">
      <c r="A23" s="1">
        <v>7005.0841726976696</v>
      </c>
      <c r="B23" s="1">
        <f t="shared" si="0"/>
        <v>5954.3215467930186</v>
      </c>
      <c r="C23" s="1">
        <f t="shared" si="1"/>
        <v>9947.2195252306901</v>
      </c>
      <c r="D23" s="1">
        <f t="shared" si="2"/>
        <v>13029.456561217667</v>
      </c>
    </row>
    <row r="24" spans="1:4" x14ac:dyDescent="0.2">
      <c r="A24" s="1">
        <v>6380.9540736363597</v>
      </c>
      <c r="B24" s="1">
        <f t="shared" si="0"/>
        <v>5423.8109625909055</v>
      </c>
      <c r="C24" s="1">
        <f t="shared" si="1"/>
        <v>9060.9547845636298</v>
      </c>
      <c r="D24" s="1">
        <f t="shared" si="2"/>
        <v>11868.574576963631</v>
      </c>
    </row>
    <row r="25" spans="1:4" x14ac:dyDescent="0.2">
      <c r="A25" s="1">
        <v>5847.1906604722199</v>
      </c>
      <c r="B25" s="1">
        <f t="shared" si="0"/>
        <v>4970.1120614013871</v>
      </c>
      <c r="C25" s="1">
        <f t="shared" si="1"/>
        <v>8303.0107378705525</v>
      </c>
      <c r="D25" s="1">
        <f t="shared" si="2"/>
        <v>10875.77462847833</v>
      </c>
    </row>
    <row r="26" spans="1:4" x14ac:dyDescent="0.2">
      <c r="A26" s="1">
        <v>5525.37894543333</v>
      </c>
      <c r="B26" s="1">
        <f t="shared" si="0"/>
        <v>4696.5721036183304</v>
      </c>
      <c r="C26" s="1">
        <f t="shared" si="1"/>
        <v>7846.0381025153283</v>
      </c>
      <c r="D26" s="1">
        <f t="shared" si="2"/>
        <v>10277.204838505995</v>
      </c>
    </row>
    <row r="27" spans="1:4" x14ac:dyDescent="0.2">
      <c r="A27" s="1">
        <v>5158.2497772848101</v>
      </c>
      <c r="B27" s="1">
        <f t="shared" si="0"/>
        <v>4384.5123106920882</v>
      </c>
      <c r="C27" s="1">
        <f t="shared" si="1"/>
        <v>7324.7146837444297</v>
      </c>
      <c r="D27" s="1">
        <f t="shared" si="2"/>
        <v>9594.3445857497481</v>
      </c>
    </row>
    <row r="28" spans="1:4" x14ac:dyDescent="0.2">
      <c r="A28" s="1">
        <v>4843.2023359304803</v>
      </c>
      <c r="B28" s="1">
        <f t="shared" si="0"/>
        <v>4116.7219855409085</v>
      </c>
      <c r="C28" s="1">
        <f t="shared" si="1"/>
        <v>6877.3473170212819</v>
      </c>
      <c r="D28" s="1">
        <f t="shared" si="2"/>
        <v>9008.3563448306941</v>
      </c>
    </row>
    <row r="29" spans="1:4" x14ac:dyDescent="0.2">
      <c r="A29" s="1">
        <v>4457.5875890058096</v>
      </c>
      <c r="B29" s="1">
        <f t="shared" si="0"/>
        <v>3788.9494506549381</v>
      </c>
      <c r="C29" s="1">
        <f t="shared" si="1"/>
        <v>6329.774376388249</v>
      </c>
      <c r="D29" s="1">
        <f t="shared" si="2"/>
        <v>8291.1129155508061</v>
      </c>
    </row>
    <row r="30" spans="1:4" x14ac:dyDescent="0.2">
      <c r="A30" s="1">
        <v>3809.93794362068</v>
      </c>
      <c r="B30" s="1">
        <f t="shared" si="0"/>
        <v>3238.447252077578</v>
      </c>
      <c r="C30" s="1">
        <f t="shared" si="1"/>
        <v>5410.1118799413653</v>
      </c>
      <c r="D30" s="1">
        <f t="shared" si="2"/>
        <v>7086.4845751344656</v>
      </c>
    </row>
    <row r="31" spans="1:4" x14ac:dyDescent="0.2">
      <c r="A31" s="1">
        <v>3526.8641696774098</v>
      </c>
      <c r="B31" s="1">
        <f t="shared" si="0"/>
        <v>2997.8345442257983</v>
      </c>
      <c r="C31" s="1">
        <f t="shared" si="1"/>
        <v>5008.1471209419215</v>
      </c>
      <c r="D31" s="1">
        <f t="shared" si="2"/>
        <v>6559.9673555999825</v>
      </c>
    </row>
    <row r="32" spans="1:4" x14ac:dyDescent="0.2">
      <c r="A32" s="1">
        <v>3339.71266909016</v>
      </c>
      <c r="B32" s="1">
        <f t="shared" si="0"/>
        <v>2838.7557687266358</v>
      </c>
      <c r="C32" s="1">
        <f t="shared" si="1"/>
        <v>4742.3919901080271</v>
      </c>
      <c r="D32" s="1">
        <f t="shared" si="2"/>
        <v>6211.8655645076979</v>
      </c>
    </row>
    <row r="33" spans="1:4" x14ac:dyDescent="0.2">
      <c r="A33" s="1">
        <v>3103.6171854459399</v>
      </c>
      <c r="B33" s="1">
        <f t="shared" si="0"/>
        <v>2638.0746076290488</v>
      </c>
      <c r="C33" s="1">
        <f t="shared" si="1"/>
        <v>4407.1364033332347</v>
      </c>
      <c r="D33" s="1">
        <f t="shared" si="2"/>
        <v>5772.7279649294487</v>
      </c>
    </row>
    <row r="34" spans="1:4" x14ac:dyDescent="0.2">
      <c r="A34" s="1">
        <v>2912.1449803108098</v>
      </c>
      <c r="B34" s="1">
        <f t="shared" si="0"/>
        <v>2475.3232332641883</v>
      </c>
      <c r="C34" s="1">
        <f t="shared" si="1"/>
        <v>4135.2458720413497</v>
      </c>
      <c r="D34" s="1">
        <f t="shared" si="2"/>
        <v>5416.5896633781067</v>
      </c>
    </row>
    <row r="35" spans="1:4" x14ac:dyDescent="0.2">
      <c r="A35" s="1">
        <v>2720.6727751756698</v>
      </c>
      <c r="B35" s="1">
        <f t="shared" si="0"/>
        <v>2312.5718588993191</v>
      </c>
      <c r="C35" s="1">
        <f t="shared" si="1"/>
        <v>3863.355340749451</v>
      </c>
      <c r="D35" s="1">
        <f t="shared" si="2"/>
        <v>5060.4513618267465</v>
      </c>
    </row>
    <row r="36" spans="1:4" x14ac:dyDescent="0.2">
      <c r="A36" s="1">
        <v>2489.0195247563202</v>
      </c>
      <c r="B36" s="1">
        <f t="shared" si="0"/>
        <v>2115.6665960428722</v>
      </c>
      <c r="C36" s="1">
        <f t="shared" si="1"/>
        <v>3534.4077251539743</v>
      </c>
      <c r="D36" s="1">
        <f t="shared" si="2"/>
        <v>4629.5763160467559</v>
      </c>
    </row>
    <row r="37" spans="1:4" x14ac:dyDescent="0.2">
      <c r="A37" s="1">
        <v>2242.3367230474601</v>
      </c>
      <c r="B37" s="1">
        <f t="shared" si="0"/>
        <v>1905.986214590341</v>
      </c>
      <c r="C37" s="1">
        <f t="shared" si="1"/>
        <v>3184.1181467273932</v>
      </c>
      <c r="D37" s="1">
        <f t="shared" si="2"/>
        <v>4170.7463048682757</v>
      </c>
    </row>
    <row r="38" spans="1:4" x14ac:dyDescent="0.2">
      <c r="A38" s="1">
        <v>2004.6535717757699</v>
      </c>
      <c r="B38" s="1">
        <f t="shared" si="0"/>
        <v>1703.9555360094043</v>
      </c>
      <c r="C38" s="1">
        <f t="shared" si="1"/>
        <v>2846.6080719215934</v>
      </c>
      <c r="D38" s="1">
        <f t="shared" si="2"/>
        <v>3728.6556435029324</v>
      </c>
    </row>
    <row r="39" spans="1:4" x14ac:dyDescent="0.2">
      <c r="A39" s="1">
        <v>1767.22755337371</v>
      </c>
      <c r="B39" s="1">
        <f t="shared" si="0"/>
        <v>1502.1434203676533</v>
      </c>
      <c r="C39" s="1">
        <f t="shared" si="1"/>
        <v>2509.4631257906681</v>
      </c>
      <c r="D39" s="1">
        <f t="shared" si="2"/>
        <v>3287.0432492751006</v>
      </c>
    </row>
    <row r="40" spans="1:4" x14ac:dyDescent="0.2">
      <c r="A40" s="1">
        <v>1552.5996804193501</v>
      </c>
      <c r="B40" s="1">
        <f t="shared" si="0"/>
        <v>1319.7097283564476</v>
      </c>
      <c r="C40" s="1">
        <f t="shared" si="1"/>
        <v>2204.6915461954768</v>
      </c>
      <c r="D40" s="1">
        <f t="shared" si="2"/>
        <v>2887.8354055799914</v>
      </c>
    </row>
    <row r="41" spans="1:4" x14ac:dyDescent="0.2">
      <c r="A41" s="1">
        <v>1427.06175109638</v>
      </c>
      <c r="B41" s="1">
        <f t="shared" si="0"/>
        <v>1213.002488431923</v>
      </c>
      <c r="C41" s="1">
        <f t="shared" si="1"/>
        <v>2026.4276865568595</v>
      </c>
      <c r="D41" s="1">
        <f t="shared" si="2"/>
        <v>2654.3348570392668</v>
      </c>
    </row>
    <row r="42" spans="1:4" x14ac:dyDescent="0.2">
      <c r="A42" s="1">
        <v>1324.7501176024</v>
      </c>
      <c r="B42" s="1">
        <f t="shared" si="0"/>
        <v>1126.0375999620401</v>
      </c>
      <c r="C42" s="1">
        <f t="shared" si="1"/>
        <v>1881.1451669954079</v>
      </c>
      <c r="D42" s="1">
        <f t="shared" si="2"/>
        <v>2464.0352187404642</v>
      </c>
    </row>
    <row r="43" spans="1:4" x14ac:dyDescent="0.2">
      <c r="A43" s="1">
        <v>1261.13687862917</v>
      </c>
      <c r="B43" s="1">
        <f t="shared" si="0"/>
        <v>1071.9663468347944</v>
      </c>
      <c r="C43" s="1">
        <f t="shared" si="1"/>
        <v>1790.8143676534214</v>
      </c>
      <c r="D43" s="1">
        <f t="shared" si="2"/>
        <v>2345.7145942502566</v>
      </c>
    </row>
    <row r="44" spans="1:4" x14ac:dyDescent="0.2">
      <c r="A44" s="1">
        <v>1239.8218848297799</v>
      </c>
      <c r="B44" s="1">
        <f t="shared" si="0"/>
        <v>1053.8486021053129</v>
      </c>
      <c r="C44" s="1">
        <f t="shared" si="1"/>
        <v>1760.5470764582874</v>
      </c>
      <c r="D44" s="1">
        <f t="shared" si="2"/>
        <v>2306.0687057833907</v>
      </c>
    </row>
    <row r="45" spans="1:4" x14ac:dyDescent="0.2">
      <c r="A45" s="1">
        <v>1188.94112383175</v>
      </c>
      <c r="B45" s="1">
        <f t="shared" si="0"/>
        <v>1010.5999552569875</v>
      </c>
      <c r="C45" s="1">
        <f t="shared" si="1"/>
        <v>1688.2963958410849</v>
      </c>
      <c r="D45" s="1">
        <f t="shared" si="2"/>
        <v>2211.4304903270549</v>
      </c>
    </row>
    <row r="46" spans="1:4" x14ac:dyDescent="0.2">
      <c r="A46" s="1">
        <v>1122.14033434215</v>
      </c>
      <c r="B46" s="1">
        <f t="shared" si="0"/>
        <v>953.81928419082749</v>
      </c>
      <c r="C46" s="1">
        <f t="shared" si="1"/>
        <v>1593.439274765853</v>
      </c>
      <c r="D46" s="1">
        <f t="shared" si="2"/>
        <v>2087.181021876399</v>
      </c>
    </row>
    <row r="47" spans="1:4" x14ac:dyDescent="0.2">
      <c r="A47" s="1">
        <v>1055.33954485255</v>
      </c>
      <c r="B47" s="1">
        <f t="shared" si="0"/>
        <v>897.03861312466745</v>
      </c>
      <c r="C47" s="1">
        <f t="shared" si="1"/>
        <v>1498.582153690621</v>
      </c>
      <c r="D47" s="1">
        <f t="shared" si="2"/>
        <v>1962.9315534257432</v>
      </c>
    </row>
    <row r="48" spans="1:4" x14ac:dyDescent="0.2">
      <c r="A48" s="1">
        <v>1011.90645804</v>
      </c>
      <c r="B48" s="1">
        <f t="shared" si="0"/>
        <v>860.1204893339999</v>
      </c>
      <c r="C48" s="1">
        <f t="shared" si="1"/>
        <v>1436.9071704167998</v>
      </c>
      <c r="D48" s="1">
        <f t="shared" si="2"/>
        <v>1882.1460119544001</v>
      </c>
    </row>
    <row r="49" spans="1:4" x14ac:dyDescent="0.2">
      <c r="A49" s="1">
        <v>977.96650044</v>
      </c>
      <c r="B49" s="1">
        <f t="shared" si="0"/>
        <v>831.27152537400002</v>
      </c>
      <c r="C49" s="1">
        <f t="shared" si="1"/>
        <v>1388.7124306247999</v>
      </c>
      <c r="D49" s="1">
        <f t="shared" si="2"/>
        <v>1819.0176908184001</v>
      </c>
    </row>
    <row r="50" spans="1:4" x14ac:dyDescent="0.2">
      <c r="A50" s="1">
        <v>957.89089731502497</v>
      </c>
      <c r="B50" s="1">
        <f t="shared" si="0"/>
        <v>814.20726271777119</v>
      </c>
      <c r="C50" s="1">
        <f t="shared" si="1"/>
        <v>1360.2050741873354</v>
      </c>
      <c r="D50" s="1">
        <f t="shared" si="2"/>
        <v>1781.6770690059466</v>
      </c>
    </row>
    <row r="51" spans="1:4" x14ac:dyDescent="0.2">
      <c r="A51" s="1">
        <v>958.13701924248699</v>
      </c>
      <c r="B51" s="1">
        <f t="shared" si="0"/>
        <v>814.41646635611392</v>
      </c>
      <c r="C51" s="1">
        <f t="shared" si="1"/>
        <v>1360.5545673243314</v>
      </c>
      <c r="D51" s="1">
        <f t="shared" si="2"/>
        <v>1782.134855791026</v>
      </c>
    </row>
    <row r="52" spans="1:4" x14ac:dyDescent="0.2">
      <c r="A52" s="1">
        <v>951.67233569323605</v>
      </c>
      <c r="B52" s="1">
        <f t="shared" si="0"/>
        <v>808.92148533925058</v>
      </c>
      <c r="C52" s="1">
        <f t="shared" si="1"/>
        <v>1351.374716684395</v>
      </c>
      <c r="D52" s="1">
        <f t="shared" si="2"/>
        <v>1770.1105443894191</v>
      </c>
    </row>
    <row r="53" spans="1:4" x14ac:dyDescent="0.2">
      <c r="A53" s="1">
        <v>926.21750047584499</v>
      </c>
      <c r="B53" s="1">
        <f t="shared" si="0"/>
        <v>787.28487540446827</v>
      </c>
      <c r="C53" s="1">
        <f t="shared" si="1"/>
        <v>1315.2288506756997</v>
      </c>
      <c r="D53" s="1">
        <f t="shared" si="2"/>
        <v>1722.7645508850717</v>
      </c>
    </row>
    <row r="54" spans="1:4" x14ac:dyDescent="0.2">
      <c r="A54" s="1">
        <v>900.76266525845404</v>
      </c>
      <c r="B54" s="1">
        <f t="shared" si="0"/>
        <v>765.64826546968595</v>
      </c>
      <c r="C54" s="1">
        <f t="shared" si="1"/>
        <v>1279.0829846670047</v>
      </c>
      <c r="D54" s="1">
        <f t="shared" si="2"/>
        <v>1675.4185573807247</v>
      </c>
    </row>
    <row r="55" spans="1:4" x14ac:dyDescent="0.2">
      <c r="A55" s="1">
        <v>871.12063197054999</v>
      </c>
      <c r="B55" s="1">
        <f t="shared" si="0"/>
        <v>740.45253717496746</v>
      </c>
      <c r="C55" s="1">
        <f t="shared" si="1"/>
        <v>1236.9912973981809</v>
      </c>
      <c r="D55" s="1">
        <f t="shared" si="2"/>
        <v>1620.2843754652231</v>
      </c>
    </row>
    <row r="56" spans="1:4" x14ac:dyDescent="0.2">
      <c r="A56" s="1">
        <v>841.30917448326204</v>
      </c>
      <c r="B56" s="1">
        <f t="shared" si="0"/>
        <v>715.11279831077275</v>
      </c>
      <c r="C56" s="1">
        <f t="shared" si="1"/>
        <v>1194.6590277662319</v>
      </c>
      <c r="D56" s="1">
        <f t="shared" si="2"/>
        <v>1564.8350645388675</v>
      </c>
    </row>
    <row r="57" spans="1:4" x14ac:dyDescent="0.2">
      <c r="A57" s="1">
        <v>810.20029649426704</v>
      </c>
      <c r="B57" s="1">
        <f t="shared" si="0"/>
        <v>688.67025202012701</v>
      </c>
      <c r="C57" s="1">
        <f t="shared" si="1"/>
        <v>1150.4844210218591</v>
      </c>
      <c r="D57" s="1">
        <f t="shared" si="2"/>
        <v>1506.9725514793367</v>
      </c>
    </row>
    <row r="58" spans="1:4" x14ac:dyDescent="0.2">
      <c r="A58" s="1">
        <v>776.56038506751599</v>
      </c>
      <c r="B58" s="1">
        <f t="shared" si="0"/>
        <v>660.07632730738862</v>
      </c>
      <c r="C58" s="1">
        <f t="shared" si="1"/>
        <v>1102.7157467958727</v>
      </c>
      <c r="D58" s="1">
        <f t="shared" si="2"/>
        <v>1444.4023162255799</v>
      </c>
    </row>
    <row r="59" spans="1:4" x14ac:dyDescent="0.2">
      <c r="A59" s="1">
        <v>759.78496493810201</v>
      </c>
      <c r="B59" s="1">
        <f t="shared" si="0"/>
        <v>645.81722019738675</v>
      </c>
      <c r="C59" s="1">
        <f t="shared" si="1"/>
        <v>1078.8946502121048</v>
      </c>
      <c r="D59" s="1">
        <f t="shared" si="2"/>
        <v>1413.2000347848698</v>
      </c>
    </row>
    <row r="60" spans="1:4" x14ac:dyDescent="0.2">
      <c r="A60" s="1">
        <v>754.515225787247</v>
      </c>
      <c r="B60" s="1">
        <f t="shared" si="0"/>
        <v>641.3379419191599</v>
      </c>
      <c r="C60" s="1">
        <f t="shared" si="1"/>
        <v>1071.4116206178908</v>
      </c>
      <c r="D60" s="1">
        <f t="shared" si="2"/>
        <v>1403.3983199642796</v>
      </c>
    </row>
    <row r="61" spans="1:4" x14ac:dyDescent="0.2">
      <c r="A61" s="1">
        <v>749.24548663639098</v>
      </c>
      <c r="B61" s="1">
        <f t="shared" si="0"/>
        <v>636.85866364093226</v>
      </c>
      <c r="C61" s="1">
        <f t="shared" si="1"/>
        <v>1063.9285910236752</v>
      </c>
      <c r="D61" s="1">
        <f t="shared" si="2"/>
        <v>1393.5966051436874</v>
      </c>
    </row>
    <row r="62" spans="1:4" x14ac:dyDescent="0.2">
      <c r="A62" s="1">
        <v>743.77397177942305</v>
      </c>
      <c r="B62" s="1">
        <f t="shared" si="0"/>
        <v>632.20787601250959</v>
      </c>
      <c r="C62" s="1">
        <f t="shared" si="1"/>
        <v>1056.1590399267807</v>
      </c>
      <c r="D62" s="1">
        <f t="shared" si="2"/>
        <v>1383.4195875097269</v>
      </c>
    </row>
    <row r="63" spans="1:4" x14ac:dyDescent="0.2">
      <c r="A63" s="1">
        <v>729.42432585349798</v>
      </c>
      <c r="B63" s="1">
        <f t="shared" si="0"/>
        <v>620.0106769754733</v>
      </c>
      <c r="C63" s="1">
        <f t="shared" si="1"/>
        <v>1035.7825427119672</v>
      </c>
      <c r="D63" s="1">
        <f t="shared" si="2"/>
        <v>1356.7292460875062</v>
      </c>
    </row>
    <row r="64" spans="1:4" x14ac:dyDescent="0.2">
      <c r="A64" s="1">
        <v>715.07467992757199</v>
      </c>
      <c r="B64" s="1">
        <f t="shared" si="0"/>
        <v>607.81347793843622</v>
      </c>
      <c r="C64" s="1">
        <f t="shared" si="1"/>
        <v>1015.4060454971521</v>
      </c>
      <c r="D64" s="1">
        <f t="shared" si="2"/>
        <v>1330.038904665284</v>
      </c>
    </row>
    <row r="65" spans="2:4" x14ac:dyDescent="0.2">
      <c r="B65">
        <f>6300/7333</f>
        <v>0.85912996045274781</v>
      </c>
      <c r="C65">
        <f>10400/7333</f>
        <v>1.4182462839219965</v>
      </c>
      <c r="D65">
        <f>13800/7433</f>
        <v>1.8565854971074935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9EB1-FBF1-435F-AC3C-34AEE4730037}">
  <dimension ref="A1:F64"/>
  <sheetViews>
    <sheetView topLeftCell="A27" workbookViewId="0">
      <selection activeCell="F1" sqref="F1:F64"/>
    </sheetView>
  </sheetViews>
  <sheetFormatPr defaultRowHeight="14.25" x14ac:dyDescent="0.2"/>
  <sheetData>
    <row r="1" spans="1:6" x14ac:dyDescent="0.2">
      <c r="A1">
        <v>24</v>
      </c>
      <c r="B1">
        <v>29</v>
      </c>
      <c r="C1">
        <v>14</v>
      </c>
      <c r="D1">
        <f>SUM(A1:C1)</f>
        <v>67</v>
      </c>
      <c r="E1">
        <v>3336</v>
      </c>
      <c r="F1">
        <f>E1+D1</f>
        <v>3403</v>
      </c>
    </row>
    <row r="2" spans="1:6" x14ac:dyDescent="0.2">
      <c r="A2">
        <v>34</v>
      </c>
      <c r="B2">
        <v>51</v>
      </c>
      <c r="C2">
        <v>19</v>
      </c>
      <c r="D2">
        <f t="shared" ref="D2:D64" si="0">SUM(A2:C2)</f>
        <v>104</v>
      </c>
      <c r="E2">
        <v>3785</v>
      </c>
      <c r="F2">
        <f t="shared" ref="F2:F64" si="1">E2+D2</f>
        <v>3889</v>
      </c>
    </row>
    <row r="3" spans="1:6" x14ac:dyDescent="0.2">
      <c r="A3">
        <v>219</v>
      </c>
      <c r="B3">
        <v>63</v>
      </c>
      <c r="C3">
        <v>24</v>
      </c>
      <c r="D3">
        <f t="shared" si="0"/>
        <v>306</v>
      </c>
      <c r="E3">
        <v>4219</v>
      </c>
      <c r="F3">
        <f t="shared" si="1"/>
        <v>4525</v>
      </c>
    </row>
    <row r="4" spans="1:6" x14ac:dyDescent="0.2">
      <c r="A4">
        <v>151</v>
      </c>
      <c r="B4">
        <v>75</v>
      </c>
      <c r="C4">
        <v>28</v>
      </c>
      <c r="D4">
        <f t="shared" si="0"/>
        <v>254</v>
      </c>
      <c r="E4">
        <v>4539</v>
      </c>
      <c r="F4">
        <f t="shared" si="1"/>
        <v>4793</v>
      </c>
    </row>
    <row r="5" spans="1:6" x14ac:dyDescent="0.2">
      <c r="A5">
        <v>182</v>
      </c>
      <c r="B5">
        <v>87</v>
      </c>
      <c r="C5">
        <v>33</v>
      </c>
      <c r="D5">
        <f t="shared" si="0"/>
        <v>302</v>
      </c>
      <c r="E5">
        <v>4858</v>
      </c>
      <c r="F5">
        <f t="shared" si="1"/>
        <v>5160</v>
      </c>
    </row>
    <row r="6" spans="1:6" x14ac:dyDescent="0.2">
      <c r="A6">
        <v>418</v>
      </c>
      <c r="B6">
        <v>100</v>
      </c>
      <c r="C6">
        <v>37</v>
      </c>
      <c r="D6">
        <f t="shared" si="0"/>
        <v>555</v>
      </c>
      <c r="E6">
        <v>5153</v>
      </c>
      <c r="F6">
        <f t="shared" si="1"/>
        <v>5708</v>
      </c>
    </row>
    <row r="7" spans="1:6" x14ac:dyDescent="0.2">
      <c r="A7">
        <v>393</v>
      </c>
      <c r="B7">
        <v>112</v>
      </c>
      <c r="C7">
        <v>41</v>
      </c>
      <c r="D7">
        <f t="shared" si="0"/>
        <v>546</v>
      </c>
      <c r="E7">
        <v>5284</v>
      </c>
      <c r="F7">
        <f t="shared" si="1"/>
        <v>5830</v>
      </c>
    </row>
    <row r="8" spans="1:6" x14ac:dyDescent="0.2">
      <c r="A8">
        <v>266</v>
      </c>
      <c r="B8">
        <v>114</v>
      </c>
      <c r="C8">
        <v>42</v>
      </c>
      <c r="D8">
        <f t="shared" si="0"/>
        <v>422</v>
      </c>
      <c r="E8">
        <v>5288</v>
      </c>
      <c r="F8">
        <f t="shared" si="1"/>
        <v>5710</v>
      </c>
    </row>
    <row r="9" spans="1:6" x14ac:dyDescent="0.2">
      <c r="A9">
        <v>339</v>
      </c>
      <c r="B9">
        <v>115</v>
      </c>
      <c r="C9">
        <v>43</v>
      </c>
      <c r="D9">
        <f t="shared" si="0"/>
        <v>497</v>
      </c>
      <c r="E9">
        <v>6279</v>
      </c>
      <c r="F9">
        <f t="shared" si="1"/>
        <v>6776</v>
      </c>
    </row>
    <row r="10" spans="1:6" x14ac:dyDescent="0.2">
      <c r="A10">
        <v>605</v>
      </c>
      <c r="B10">
        <v>117</v>
      </c>
      <c r="C10">
        <v>43</v>
      </c>
      <c r="D10">
        <f t="shared" si="0"/>
        <v>765</v>
      </c>
      <c r="E10">
        <v>5255</v>
      </c>
      <c r="F10">
        <f t="shared" si="1"/>
        <v>6020</v>
      </c>
    </row>
    <row r="11" spans="1:6" x14ac:dyDescent="0.2">
      <c r="A11">
        <v>695</v>
      </c>
      <c r="B11">
        <v>118</v>
      </c>
      <c r="C11">
        <v>44</v>
      </c>
      <c r="D11">
        <f t="shared" si="0"/>
        <v>857</v>
      </c>
      <c r="E11">
        <v>5243</v>
      </c>
      <c r="F11">
        <f t="shared" si="1"/>
        <v>6100</v>
      </c>
    </row>
    <row r="12" spans="1:6" x14ac:dyDescent="0.2">
      <c r="A12">
        <v>689</v>
      </c>
      <c r="B12">
        <v>149</v>
      </c>
      <c r="C12">
        <v>56</v>
      </c>
      <c r="D12">
        <f t="shared" si="0"/>
        <v>894</v>
      </c>
      <c r="E12">
        <v>5107</v>
      </c>
      <c r="F12">
        <f t="shared" si="1"/>
        <v>6001</v>
      </c>
    </row>
    <row r="13" spans="1:6" x14ac:dyDescent="0.2">
      <c r="A13">
        <v>1001</v>
      </c>
      <c r="B13">
        <v>345</v>
      </c>
      <c r="C13">
        <v>129</v>
      </c>
      <c r="D13">
        <f t="shared" si="0"/>
        <v>1475</v>
      </c>
      <c r="E13">
        <v>4952</v>
      </c>
      <c r="F13">
        <f t="shared" si="1"/>
        <v>6427</v>
      </c>
    </row>
    <row r="14" spans="1:6" x14ac:dyDescent="0.2">
      <c r="A14">
        <v>1408</v>
      </c>
      <c r="B14">
        <v>301</v>
      </c>
      <c r="C14">
        <v>112</v>
      </c>
      <c r="D14">
        <f t="shared" si="0"/>
        <v>1821</v>
      </c>
      <c r="E14">
        <v>4813</v>
      </c>
      <c r="F14">
        <f t="shared" si="1"/>
        <v>6634</v>
      </c>
    </row>
    <row r="15" spans="1:6" x14ac:dyDescent="0.2">
      <c r="A15">
        <v>1247</v>
      </c>
      <c r="B15">
        <v>293</v>
      </c>
      <c r="C15">
        <v>109</v>
      </c>
      <c r="D15">
        <f t="shared" si="0"/>
        <v>1649</v>
      </c>
      <c r="E15">
        <v>4673</v>
      </c>
      <c r="F15">
        <f t="shared" si="1"/>
        <v>6322</v>
      </c>
    </row>
    <row r="16" spans="1:6" x14ac:dyDescent="0.2">
      <c r="A16">
        <v>841</v>
      </c>
      <c r="B16">
        <v>293</v>
      </c>
      <c r="C16">
        <v>109</v>
      </c>
      <c r="D16">
        <f t="shared" si="0"/>
        <v>1243</v>
      </c>
      <c r="E16">
        <v>4541</v>
      </c>
      <c r="F16">
        <f t="shared" si="1"/>
        <v>5784</v>
      </c>
    </row>
    <row r="17" spans="1:6" x14ac:dyDescent="0.2">
      <c r="A17">
        <v>920</v>
      </c>
      <c r="B17">
        <v>309</v>
      </c>
      <c r="C17">
        <v>115</v>
      </c>
      <c r="D17">
        <f t="shared" si="0"/>
        <v>1344</v>
      </c>
      <c r="E17">
        <v>4392</v>
      </c>
      <c r="F17">
        <f t="shared" si="1"/>
        <v>5736</v>
      </c>
    </row>
    <row r="18" spans="1:6" x14ac:dyDescent="0.2">
      <c r="A18">
        <v>747</v>
      </c>
      <c r="B18">
        <v>350</v>
      </c>
      <c r="C18">
        <v>130</v>
      </c>
      <c r="D18">
        <f t="shared" si="0"/>
        <v>1227</v>
      </c>
      <c r="E18">
        <v>4190</v>
      </c>
      <c r="F18">
        <f t="shared" si="1"/>
        <v>5417</v>
      </c>
    </row>
    <row r="19" spans="1:6" x14ac:dyDescent="0.2">
      <c r="A19">
        <v>1443</v>
      </c>
      <c r="B19">
        <v>838</v>
      </c>
      <c r="C19">
        <v>312</v>
      </c>
      <c r="D19">
        <f t="shared" si="0"/>
        <v>2593</v>
      </c>
      <c r="E19">
        <v>4101</v>
      </c>
      <c r="F19">
        <f t="shared" si="1"/>
        <v>6694</v>
      </c>
    </row>
    <row r="20" spans="1:6" x14ac:dyDescent="0.2">
      <c r="A20">
        <v>2563</v>
      </c>
      <c r="B20">
        <v>1179</v>
      </c>
      <c r="C20">
        <v>439</v>
      </c>
      <c r="D20">
        <f t="shared" si="0"/>
        <v>4181</v>
      </c>
      <c r="E20">
        <v>3958</v>
      </c>
      <c r="F20">
        <f t="shared" si="1"/>
        <v>8139</v>
      </c>
    </row>
    <row r="21" spans="1:6" x14ac:dyDescent="0.2">
      <c r="A21">
        <v>3279</v>
      </c>
      <c r="B21">
        <v>1667</v>
      </c>
      <c r="C21">
        <v>621</v>
      </c>
      <c r="D21">
        <f t="shared" si="0"/>
        <v>5567</v>
      </c>
      <c r="E21">
        <v>3826</v>
      </c>
      <c r="F21">
        <f t="shared" si="1"/>
        <v>9393</v>
      </c>
    </row>
    <row r="22" spans="1:6" x14ac:dyDescent="0.2">
      <c r="A22">
        <v>4063</v>
      </c>
      <c r="B22">
        <v>2480</v>
      </c>
      <c r="C22">
        <v>924</v>
      </c>
      <c r="D22">
        <f t="shared" si="0"/>
        <v>7467</v>
      </c>
      <c r="E22">
        <v>3706</v>
      </c>
      <c r="F22">
        <f t="shared" si="1"/>
        <v>11173</v>
      </c>
    </row>
    <row r="23" spans="1:6" x14ac:dyDescent="0.2">
      <c r="A23">
        <v>5157</v>
      </c>
      <c r="B23">
        <v>1708</v>
      </c>
      <c r="C23">
        <v>636</v>
      </c>
      <c r="D23">
        <f t="shared" si="0"/>
        <v>7501</v>
      </c>
      <c r="E23">
        <v>3586</v>
      </c>
      <c r="F23">
        <f t="shared" si="1"/>
        <v>11087</v>
      </c>
    </row>
    <row r="24" spans="1:6" x14ac:dyDescent="0.2">
      <c r="A24">
        <v>3650</v>
      </c>
      <c r="B24">
        <v>2358</v>
      </c>
      <c r="C24">
        <v>879</v>
      </c>
      <c r="D24">
        <f t="shared" si="0"/>
        <v>6887</v>
      </c>
      <c r="E24">
        <v>3470</v>
      </c>
      <c r="F24">
        <f t="shared" si="1"/>
        <v>10357</v>
      </c>
    </row>
    <row r="25" spans="1:6" x14ac:dyDescent="0.2">
      <c r="A25">
        <v>3607</v>
      </c>
      <c r="B25">
        <v>3228</v>
      </c>
      <c r="C25">
        <v>1203</v>
      </c>
      <c r="D25">
        <f t="shared" si="0"/>
        <v>8038</v>
      </c>
      <c r="E25">
        <v>3358</v>
      </c>
      <c r="F25">
        <f t="shared" si="1"/>
        <v>11396</v>
      </c>
    </row>
    <row r="26" spans="1:6" x14ac:dyDescent="0.2">
      <c r="A26">
        <v>2432</v>
      </c>
      <c r="B26">
        <v>2520</v>
      </c>
      <c r="C26">
        <v>940</v>
      </c>
      <c r="D26">
        <f t="shared" si="0"/>
        <v>5892</v>
      </c>
      <c r="E26">
        <v>3247</v>
      </c>
      <c r="F26">
        <f t="shared" si="1"/>
        <v>9139</v>
      </c>
    </row>
    <row r="27" spans="1:6" x14ac:dyDescent="0.2">
      <c r="A27">
        <v>2087</v>
      </c>
      <c r="B27">
        <v>1911</v>
      </c>
      <c r="C27">
        <v>712</v>
      </c>
      <c r="D27">
        <f t="shared" si="0"/>
        <v>4710</v>
      </c>
      <c r="E27">
        <v>3141</v>
      </c>
      <c r="F27">
        <f t="shared" si="1"/>
        <v>7851</v>
      </c>
    </row>
    <row r="28" spans="1:6" x14ac:dyDescent="0.2">
      <c r="A28">
        <v>1877</v>
      </c>
      <c r="B28">
        <v>1545</v>
      </c>
      <c r="C28">
        <v>576</v>
      </c>
      <c r="D28">
        <f t="shared" si="0"/>
        <v>3998</v>
      </c>
      <c r="E28">
        <v>3038</v>
      </c>
      <c r="F28">
        <f t="shared" si="1"/>
        <v>7036</v>
      </c>
    </row>
    <row r="29" spans="1:6" x14ac:dyDescent="0.2">
      <c r="A29">
        <v>1497</v>
      </c>
      <c r="B29">
        <v>1098</v>
      </c>
      <c r="C29">
        <v>409</v>
      </c>
      <c r="D29">
        <f t="shared" si="0"/>
        <v>3004</v>
      </c>
      <c r="E29">
        <v>2936</v>
      </c>
      <c r="F29">
        <f t="shared" si="1"/>
        <v>5940</v>
      </c>
    </row>
    <row r="30" spans="1:6" x14ac:dyDescent="0.2">
      <c r="A30">
        <v>1232</v>
      </c>
      <c r="B30">
        <v>870</v>
      </c>
      <c r="C30">
        <v>324</v>
      </c>
      <c r="D30">
        <f t="shared" si="0"/>
        <v>2426</v>
      </c>
      <c r="E30">
        <v>2832</v>
      </c>
      <c r="F30">
        <f t="shared" si="1"/>
        <v>5258</v>
      </c>
    </row>
    <row r="31" spans="1:6" x14ac:dyDescent="0.2">
      <c r="A31">
        <v>1102</v>
      </c>
      <c r="B31">
        <v>691</v>
      </c>
      <c r="C31">
        <v>258</v>
      </c>
      <c r="D31">
        <f t="shared" si="0"/>
        <v>2051</v>
      </c>
      <c r="E31">
        <v>2737</v>
      </c>
      <c r="F31">
        <f t="shared" si="1"/>
        <v>4788</v>
      </c>
    </row>
    <row r="32" spans="1:6" x14ac:dyDescent="0.2">
      <c r="A32">
        <v>807</v>
      </c>
      <c r="B32">
        <v>553</v>
      </c>
      <c r="C32">
        <v>206</v>
      </c>
      <c r="D32">
        <f t="shared" si="0"/>
        <v>1566</v>
      </c>
      <c r="E32">
        <v>2634</v>
      </c>
      <c r="F32">
        <f t="shared" si="1"/>
        <v>4200</v>
      </c>
    </row>
    <row r="33" spans="1:6" x14ac:dyDescent="0.2">
      <c r="A33">
        <v>795</v>
      </c>
      <c r="B33">
        <v>463</v>
      </c>
      <c r="C33">
        <v>173</v>
      </c>
      <c r="D33">
        <f t="shared" si="0"/>
        <v>1431</v>
      </c>
      <c r="E33">
        <v>2538</v>
      </c>
      <c r="F33">
        <f t="shared" si="1"/>
        <v>3969</v>
      </c>
    </row>
    <row r="34" spans="1:6" x14ac:dyDescent="0.2">
      <c r="A34">
        <v>752</v>
      </c>
      <c r="B34">
        <v>398</v>
      </c>
      <c r="C34">
        <v>149</v>
      </c>
      <c r="D34">
        <f t="shared" si="0"/>
        <v>1299</v>
      </c>
      <c r="E34">
        <v>2443</v>
      </c>
      <c r="F34">
        <f t="shared" si="1"/>
        <v>3742</v>
      </c>
    </row>
    <row r="35" spans="1:6" x14ac:dyDescent="0.2">
      <c r="A35">
        <v>660</v>
      </c>
      <c r="B35">
        <v>350</v>
      </c>
      <c r="C35">
        <v>130</v>
      </c>
      <c r="D35">
        <f t="shared" si="0"/>
        <v>1140</v>
      </c>
      <c r="E35">
        <v>2347</v>
      </c>
      <c r="F35">
        <f t="shared" si="1"/>
        <v>3487</v>
      </c>
    </row>
    <row r="36" spans="1:6" x14ac:dyDescent="0.2">
      <c r="A36">
        <v>642</v>
      </c>
      <c r="B36">
        <v>305</v>
      </c>
      <c r="C36">
        <v>114</v>
      </c>
      <c r="D36">
        <f t="shared" si="0"/>
        <v>1061</v>
      </c>
      <c r="E36">
        <v>2259</v>
      </c>
      <c r="F36">
        <f t="shared" si="1"/>
        <v>3320</v>
      </c>
    </row>
    <row r="37" spans="1:6" x14ac:dyDescent="0.2">
      <c r="A37">
        <v>522</v>
      </c>
      <c r="B37">
        <v>283</v>
      </c>
      <c r="C37">
        <v>106</v>
      </c>
      <c r="D37">
        <f t="shared" si="0"/>
        <v>911</v>
      </c>
      <c r="E37">
        <v>2173</v>
      </c>
      <c r="F37">
        <f t="shared" si="1"/>
        <v>3084</v>
      </c>
    </row>
    <row r="38" spans="1:6" x14ac:dyDescent="0.2">
      <c r="A38">
        <v>471</v>
      </c>
      <c r="B38">
        <v>262</v>
      </c>
      <c r="C38">
        <v>98</v>
      </c>
      <c r="D38">
        <f t="shared" si="0"/>
        <v>831</v>
      </c>
      <c r="E38">
        <v>2088</v>
      </c>
      <c r="F38">
        <f t="shared" si="1"/>
        <v>2919</v>
      </c>
    </row>
    <row r="39" spans="1:6" x14ac:dyDescent="0.2">
      <c r="A39">
        <v>491</v>
      </c>
      <c r="B39">
        <v>245</v>
      </c>
      <c r="C39">
        <v>92</v>
      </c>
      <c r="D39">
        <f t="shared" si="0"/>
        <v>828</v>
      </c>
      <c r="E39">
        <v>2004</v>
      </c>
      <c r="F39">
        <f t="shared" si="1"/>
        <v>2832</v>
      </c>
    </row>
    <row r="40" spans="1:6" x14ac:dyDescent="0.2">
      <c r="A40">
        <v>626</v>
      </c>
      <c r="B40">
        <v>224</v>
      </c>
      <c r="C40">
        <v>84</v>
      </c>
      <c r="D40">
        <f t="shared" si="0"/>
        <v>934</v>
      </c>
      <c r="E40">
        <v>1859</v>
      </c>
      <c r="F40">
        <f t="shared" si="1"/>
        <v>2793</v>
      </c>
    </row>
    <row r="41" spans="1:6" x14ac:dyDescent="0.2">
      <c r="A41">
        <v>594</v>
      </c>
      <c r="B41">
        <v>212</v>
      </c>
      <c r="C41">
        <v>79</v>
      </c>
      <c r="D41">
        <f t="shared" si="0"/>
        <v>885</v>
      </c>
      <c r="E41">
        <v>1834</v>
      </c>
      <c r="F41">
        <f t="shared" si="1"/>
        <v>2719</v>
      </c>
    </row>
    <row r="42" spans="1:6" x14ac:dyDescent="0.2">
      <c r="A42">
        <v>473</v>
      </c>
      <c r="B42">
        <v>200</v>
      </c>
      <c r="C42">
        <v>74</v>
      </c>
      <c r="D42">
        <f t="shared" si="0"/>
        <v>747</v>
      </c>
      <c r="E42">
        <v>1749</v>
      </c>
      <c r="F42">
        <f t="shared" si="1"/>
        <v>2496</v>
      </c>
    </row>
    <row r="43" spans="1:6" x14ac:dyDescent="0.2">
      <c r="A43">
        <v>376</v>
      </c>
      <c r="B43">
        <v>191</v>
      </c>
      <c r="C43">
        <v>72</v>
      </c>
      <c r="D43">
        <f t="shared" si="0"/>
        <v>639</v>
      </c>
      <c r="E43">
        <v>1665</v>
      </c>
      <c r="F43">
        <f t="shared" si="1"/>
        <v>2304</v>
      </c>
    </row>
    <row r="44" spans="1:6" x14ac:dyDescent="0.2">
      <c r="A44">
        <v>339</v>
      </c>
      <c r="B44">
        <v>178</v>
      </c>
      <c r="C44">
        <v>67</v>
      </c>
      <c r="D44">
        <f t="shared" si="0"/>
        <v>584</v>
      </c>
      <c r="E44">
        <v>1580</v>
      </c>
      <c r="F44">
        <f t="shared" si="1"/>
        <v>2164</v>
      </c>
    </row>
    <row r="45" spans="1:6" x14ac:dyDescent="0.2">
      <c r="A45">
        <v>379</v>
      </c>
      <c r="B45">
        <v>170</v>
      </c>
      <c r="C45">
        <v>64</v>
      </c>
      <c r="D45">
        <f t="shared" si="0"/>
        <v>613</v>
      </c>
      <c r="E45">
        <v>1498</v>
      </c>
      <c r="F45">
        <f t="shared" si="1"/>
        <v>2111</v>
      </c>
    </row>
    <row r="46" spans="1:6" x14ac:dyDescent="0.2">
      <c r="A46">
        <v>392</v>
      </c>
      <c r="B46">
        <v>162</v>
      </c>
      <c r="C46">
        <v>61</v>
      </c>
      <c r="D46">
        <f t="shared" si="0"/>
        <v>615</v>
      </c>
      <c r="E46">
        <v>1418</v>
      </c>
      <c r="F46">
        <f t="shared" si="1"/>
        <v>2033</v>
      </c>
    </row>
    <row r="47" spans="1:6" x14ac:dyDescent="0.2">
      <c r="A47">
        <v>306</v>
      </c>
      <c r="B47">
        <v>158</v>
      </c>
      <c r="C47">
        <v>59</v>
      </c>
      <c r="D47">
        <f t="shared" si="0"/>
        <v>523</v>
      </c>
      <c r="E47">
        <v>1367</v>
      </c>
      <c r="F47">
        <f t="shared" si="1"/>
        <v>1890</v>
      </c>
    </row>
    <row r="48" spans="1:6" x14ac:dyDescent="0.2">
      <c r="A48">
        <v>313</v>
      </c>
      <c r="B48">
        <v>149</v>
      </c>
      <c r="C48">
        <v>56</v>
      </c>
      <c r="D48">
        <f t="shared" si="0"/>
        <v>518</v>
      </c>
      <c r="E48">
        <v>1315</v>
      </c>
      <c r="F48">
        <f t="shared" si="1"/>
        <v>1833</v>
      </c>
    </row>
    <row r="49" spans="1:6" x14ac:dyDescent="0.2">
      <c r="A49">
        <v>281</v>
      </c>
      <c r="B49">
        <v>141</v>
      </c>
      <c r="C49">
        <v>53</v>
      </c>
      <c r="D49">
        <f t="shared" si="0"/>
        <v>475</v>
      </c>
      <c r="E49">
        <v>1265</v>
      </c>
      <c r="F49">
        <f t="shared" si="1"/>
        <v>1740</v>
      </c>
    </row>
    <row r="50" spans="1:6" x14ac:dyDescent="0.2">
      <c r="A50">
        <v>248</v>
      </c>
      <c r="B50">
        <v>137</v>
      </c>
      <c r="C50">
        <v>51</v>
      </c>
      <c r="D50">
        <f t="shared" si="0"/>
        <v>436</v>
      </c>
      <c r="E50">
        <v>1213</v>
      </c>
      <c r="F50">
        <f t="shared" si="1"/>
        <v>1649</v>
      </c>
    </row>
    <row r="51" spans="1:6" x14ac:dyDescent="0.2">
      <c r="A51">
        <v>198</v>
      </c>
      <c r="B51">
        <v>133</v>
      </c>
      <c r="C51">
        <v>50</v>
      </c>
      <c r="D51">
        <f t="shared" si="0"/>
        <v>381</v>
      </c>
      <c r="E51">
        <v>1177</v>
      </c>
      <c r="F51">
        <f t="shared" si="1"/>
        <v>1558</v>
      </c>
    </row>
    <row r="52" spans="1:6" x14ac:dyDescent="0.2">
      <c r="A52">
        <v>160</v>
      </c>
      <c r="B52">
        <v>129</v>
      </c>
      <c r="C52">
        <v>48</v>
      </c>
      <c r="D52">
        <f t="shared" si="0"/>
        <v>337</v>
      </c>
      <c r="E52">
        <v>1118</v>
      </c>
      <c r="F52">
        <f t="shared" si="1"/>
        <v>1455</v>
      </c>
    </row>
    <row r="53" spans="1:6" x14ac:dyDescent="0.2">
      <c r="A53">
        <v>143</v>
      </c>
      <c r="B53">
        <v>124</v>
      </c>
      <c r="C53">
        <v>47</v>
      </c>
      <c r="D53">
        <f t="shared" si="0"/>
        <v>314</v>
      </c>
      <c r="E53">
        <v>1091</v>
      </c>
      <c r="F53">
        <f t="shared" si="1"/>
        <v>1405</v>
      </c>
    </row>
    <row r="54" spans="1:6" x14ac:dyDescent="0.2">
      <c r="A54">
        <v>144</v>
      </c>
      <c r="B54">
        <v>121</v>
      </c>
      <c r="C54">
        <v>45</v>
      </c>
      <c r="D54">
        <f t="shared" si="0"/>
        <v>310</v>
      </c>
      <c r="E54">
        <v>1052</v>
      </c>
      <c r="F54">
        <f t="shared" si="1"/>
        <v>1362</v>
      </c>
    </row>
    <row r="55" spans="1:6" x14ac:dyDescent="0.2">
      <c r="A55">
        <v>145</v>
      </c>
      <c r="B55">
        <v>121</v>
      </c>
      <c r="C55">
        <v>45</v>
      </c>
      <c r="D55">
        <f t="shared" si="0"/>
        <v>311</v>
      </c>
      <c r="E55">
        <v>990</v>
      </c>
      <c r="F55">
        <f t="shared" si="1"/>
        <v>1301</v>
      </c>
    </row>
    <row r="56" spans="1:6" x14ac:dyDescent="0.2">
      <c r="A56">
        <v>147</v>
      </c>
      <c r="B56">
        <v>121</v>
      </c>
      <c r="C56">
        <v>45</v>
      </c>
      <c r="D56">
        <f t="shared" si="0"/>
        <v>313</v>
      </c>
      <c r="E56">
        <v>929</v>
      </c>
      <c r="F56">
        <f t="shared" si="1"/>
        <v>1242</v>
      </c>
    </row>
    <row r="57" spans="1:6" x14ac:dyDescent="0.2">
      <c r="A57">
        <v>148</v>
      </c>
      <c r="B57">
        <v>112</v>
      </c>
      <c r="C57">
        <v>44</v>
      </c>
      <c r="D57">
        <f t="shared" si="0"/>
        <v>304</v>
      </c>
      <c r="E57">
        <v>867</v>
      </c>
      <c r="F57">
        <f t="shared" si="1"/>
        <v>1171</v>
      </c>
    </row>
    <row r="58" spans="1:6" x14ac:dyDescent="0.2">
      <c r="A58">
        <v>149</v>
      </c>
      <c r="B58">
        <v>111</v>
      </c>
      <c r="C58">
        <v>41</v>
      </c>
      <c r="D58">
        <f t="shared" si="0"/>
        <v>301</v>
      </c>
      <c r="E58">
        <v>805</v>
      </c>
      <c r="F58">
        <f t="shared" si="1"/>
        <v>1106</v>
      </c>
    </row>
    <row r="59" spans="1:6" x14ac:dyDescent="0.2">
      <c r="A59">
        <v>150</v>
      </c>
      <c r="B59">
        <v>109</v>
      </c>
      <c r="C59">
        <v>41</v>
      </c>
      <c r="D59">
        <f t="shared" si="0"/>
        <v>300</v>
      </c>
      <c r="E59">
        <v>744</v>
      </c>
      <c r="F59">
        <f t="shared" si="1"/>
        <v>1044</v>
      </c>
    </row>
    <row r="60" spans="1:6" x14ac:dyDescent="0.2">
      <c r="A60">
        <v>151</v>
      </c>
      <c r="B60">
        <v>108</v>
      </c>
      <c r="C60">
        <v>41</v>
      </c>
      <c r="D60">
        <f t="shared" si="0"/>
        <v>300</v>
      </c>
      <c r="E60">
        <v>674</v>
      </c>
      <c r="F60">
        <f t="shared" si="1"/>
        <v>974</v>
      </c>
    </row>
    <row r="61" spans="1:6" x14ac:dyDescent="0.2">
      <c r="A61">
        <v>153</v>
      </c>
      <c r="B61">
        <v>108</v>
      </c>
      <c r="C61">
        <v>40</v>
      </c>
      <c r="D61">
        <f t="shared" si="0"/>
        <v>301</v>
      </c>
      <c r="E61">
        <v>583</v>
      </c>
      <c r="F61">
        <f t="shared" si="1"/>
        <v>884</v>
      </c>
    </row>
    <row r="62" spans="1:6" x14ac:dyDescent="0.2">
      <c r="A62">
        <v>154</v>
      </c>
      <c r="B62">
        <v>106</v>
      </c>
      <c r="C62">
        <v>40</v>
      </c>
      <c r="D62">
        <f t="shared" si="0"/>
        <v>300</v>
      </c>
      <c r="E62">
        <v>526</v>
      </c>
      <c r="F62">
        <f t="shared" si="1"/>
        <v>826</v>
      </c>
    </row>
    <row r="63" spans="1:6" x14ac:dyDescent="0.2">
      <c r="A63">
        <v>155</v>
      </c>
      <c r="B63">
        <v>106</v>
      </c>
      <c r="C63">
        <v>39</v>
      </c>
      <c r="D63">
        <f t="shared" si="0"/>
        <v>300</v>
      </c>
      <c r="E63">
        <v>472</v>
      </c>
      <c r="F63">
        <f t="shared" si="1"/>
        <v>772</v>
      </c>
    </row>
    <row r="64" spans="1:6" x14ac:dyDescent="0.2">
      <c r="A64">
        <v>155</v>
      </c>
      <c r="B64">
        <v>106</v>
      </c>
      <c r="C64">
        <v>39</v>
      </c>
      <c r="D64">
        <f t="shared" si="0"/>
        <v>300</v>
      </c>
      <c r="E64">
        <v>416</v>
      </c>
      <c r="F64">
        <f t="shared" si="1"/>
        <v>716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D374-A0F5-4DB2-815B-250D2B5E6489}">
  <dimension ref="A1:D64"/>
  <sheetViews>
    <sheetView topLeftCell="A55" workbookViewId="0">
      <selection activeCell="D7" sqref="D7"/>
    </sheetView>
  </sheetViews>
  <sheetFormatPr defaultRowHeight="14.25" x14ac:dyDescent="0.2"/>
  <cols>
    <col min="1" max="16384" width="9" style="1"/>
  </cols>
  <sheetData>
    <row r="1" spans="1:4" x14ac:dyDescent="0.2">
      <c r="A1" s="1">
        <v>3403</v>
      </c>
      <c r="B1" s="1">
        <f>A1*0.64</f>
        <v>2177.92</v>
      </c>
      <c r="C1" s="1">
        <f>A1*1</f>
        <v>3403</v>
      </c>
      <c r="D1" s="1">
        <f>A1*1.2</f>
        <v>4083.6</v>
      </c>
    </row>
    <row r="2" spans="1:4" x14ac:dyDescent="0.2">
      <c r="A2" s="1">
        <v>3889</v>
      </c>
      <c r="B2" s="1">
        <f t="shared" ref="B2:B64" si="0">A2*0.64</f>
        <v>2488.96</v>
      </c>
      <c r="C2" s="1">
        <f t="shared" ref="C2:C64" si="1">A2*1</f>
        <v>3889</v>
      </c>
      <c r="D2" s="1">
        <f t="shared" ref="D2:D30" si="2">A2*1.2</f>
        <v>4666.8</v>
      </c>
    </row>
    <row r="3" spans="1:4" x14ac:dyDescent="0.2">
      <c r="A3" s="1">
        <v>4525</v>
      </c>
      <c r="B3" s="1">
        <f t="shared" si="0"/>
        <v>2896</v>
      </c>
      <c r="C3" s="1">
        <f t="shared" si="1"/>
        <v>4525</v>
      </c>
      <c r="D3" s="1">
        <f t="shared" si="2"/>
        <v>5430</v>
      </c>
    </row>
    <row r="4" spans="1:4" x14ac:dyDescent="0.2">
      <c r="A4" s="1">
        <v>4793</v>
      </c>
      <c r="B4" s="1">
        <f t="shared" si="0"/>
        <v>3067.52</v>
      </c>
      <c r="C4" s="1">
        <f t="shared" si="1"/>
        <v>4793</v>
      </c>
      <c r="D4" s="1">
        <f t="shared" si="2"/>
        <v>5751.5999999999995</v>
      </c>
    </row>
    <row r="5" spans="1:4" x14ac:dyDescent="0.2">
      <c r="A5" s="1">
        <v>5160</v>
      </c>
      <c r="B5" s="1">
        <f t="shared" si="0"/>
        <v>3302.4</v>
      </c>
      <c r="C5" s="1">
        <f t="shared" si="1"/>
        <v>5160</v>
      </c>
      <c r="D5" s="1">
        <f t="shared" si="2"/>
        <v>6192</v>
      </c>
    </row>
    <row r="6" spans="1:4" x14ac:dyDescent="0.2">
      <c r="A6" s="1">
        <v>5708</v>
      </c>
      <c r="B6" s="1">
        <f t="shared" si="0"/>
        <v>3653.12</v>
      </c>
      <c r="C6" s="1">
        <f t="shared" si="1"/>
        <v>5708</v>
      </c>
      <c r="D6" s="1">
        <f t="shared" si="2"/>
        <v>6849.5999999999995</v>
      </c>
    </row>
    <row r="7" spans="1:4" x14ac:dyDescent="0.2">
      <c r="A7" s="1">
        <v>5830</v>
      </c>
      <c r="B7" s="1">
        <f t="shared" si="0"/>
        <v>3731.2000000000003</v>
      </c>
      <c r="C7" s="1">
        <f t="shared" si="1"/>
        <v>5830</v>
      </c>
      <c r="D7" s="1">
        <f t="shared" si="2"/>
        <v>6996</v>
      </c>
    </row>
    <row r="8" spans="1:4" x14ac:dyDescent="0.2">
      <c r="A8" s="1">
        <v>5710</v>
      </c>
      <c r="B8" s="1">
        <f t="shared" si="0"/>
        <v>3654.4</v>
      </c>
      <c r="C8" s="1">
        <f t="shared" si="1"/>
        <v>5710</v>
      </c>
      <c r="D8" s="1">
        <f t="shared" si="2"/>
        <v>6852</v>
      </c>
    </row>
    <row r="9" spans="1:4" x14ac:dyDescent="0.2">
      <c r="A9" s="1">
        <v>6776</v>
      </c>
      <c r="B9" s="1">
        <f t="shared" si="0"/>
        <v>4336.6400000000003</v>
      </c>
      <c r="C9" s="1">
        <f t="shared" si="1"/>
        <v>6776</v>
      </c>
      <c r="D9" s="1">
        <f t="shared" si="2"/>
        <v>8131.2</v>
      </c>
    </row>
    <row r="10" spans="1:4" x14ac:dyDescent="0.2">
      <c r="A10" s="1">
        <v>6020</v>
      </c>
      <c r="B10" s="1">
        <f t="shared" si="0"/>
        <v>3852.8</v>
      </c>
      <c r="C10" s="1">
        <f t="shared" si="1"/>
        <v>6020</v>
      </c>
      <c r="D10" s="1">
        <f t="shared" si="2"/>
        <v>7224</v>
      </c>
    </row>
    <row r="11" spans="1:4" x14ac:dyDescent="0.2">
      <c r="A11" s="1">
        <v>6100</v>
      </c>
      <c r="B11" s="1">
        <f t="shared" si="0"/>
        <v>3904</v>
      </c>
      <c r="C11" s="1">
        <f t="shared" si="1"/>
        <v>6100</v>
      </c>
      <c r="D11" s="1">
        <f t="shared" si="2"/>
        <v>7320</v>
      </c>
    </row>
    <row r="12" spans="1:4" x14ac:dyDescent="0.2">
      <c r="A12" s="1">
        <v>6001</v>
      </c>
      <c r="B12" s="1">
        <f t="shared" si="0"/>
        <v>3840.64</v>
      </c>
      <c r="C12" s="1">
        <f t="shared" si="1"/>
        <v>6001</v>
      </c>
      <c r="D12" s="1">
        <f t="shared" si="2"/>
        <v>7201.2</v>
      </c>
    </row>
    <row r="13" spans="1:4" x14ac:dyDescent="0.2">
      <c r="A13" s="1">
        <v>6427</v>
      </c>
      <c r="B13" s="1">
        <f t="shared" si="0"/>
        <v>4113.28</v>
      </c>
      <c r="C13" s="1">
        <f t="shared" si="1"/>
        <v>6427</v>
      </c>
      <c r="D13" s="1">
        <f t="shared" si="2"/>
        <v>7712.4</v>
      </c>
    </row>
    <row r="14" spans="1:4" x14ac:dyDescent="0.2">
      <c r="A14" s="1">
        <v>6634</v>
      </c>
      <c r="B14" s="1">
        <f t="shared" si="0"/>
        <v>4245.76</v>
      </c>
      <c r="C14" s="1">
        <f t="shared" si="1"/>
        <v>6634</v>
      </c>
      <c r="D14" s="1">
        <f t="shared" si="2"/>
        <v>7960.7999999999993</v>
      </c>
    </row>
    <row r="15" spans="1:4" x14ac:dyDescent="0.2">
      <c r="A15" s="1">
        <v>6322</v>
      </c>
      <c r="B15" s="1">
        <f t="shared" si="0"/>
        <v>4046.08</v>
      </c>
      <c r="C15" s="1">
        <f t="shared" si="1"/>
        <v>6322</v>
      </c>
      <c r="D15" s="1">
        <f t="shared" si="2"/>
        <v>7586.4</v>
      </c>
    </row>
    <row r="16" spans="1:4" x14ac:dyDescent="0.2">
      <c r="A16" s="1">
        <v>5784</v>
      </c>
      <c r="B16" s="1">
        <f t="shared" si="0"/>
        <v>3701.76</v>
      </c>
      <c r="C16" s="1">
        <f t="shared" si="1"/>
        <v>5784</v>
      </c>
      <c r="D16" s="1">
        <f t="shared" si="2"/>
        <v>6940.8</v>
      </c>
    </row>
    <row r="17" spans="1:4" x14ac:dyDescent="0.2">
      <c r="A17" s="1">
        <v>5736</v>
      </c>
      <c r="B17" s="1">
        <f t="shared" si="0"/>
        <v>3671.04</v>
      </c>
      <c r="C17" s="1">
        <f t="shared" si="1"/>
        <v>5736</v>
      </c>
      <c r="D17" s="1">
        <f t="shared" si="2"/>
        <v>6883.2</v>
      </c>
    </row>
    <row r="18" spans="1:4" x14ac:dyDescent="0.2">
      <c r="A18" s="1">
        <v>5417</v>
      </c>
      <c r="B18" s="1">
        <f t="shared" si="0"/>
        <v>3466.88</v>
      </c>
      <c r="C18" s="1">
        <f t="shared" si="1"/>
        <v>5417</v>
      </c>
      <c r="D18" s="1">
        <f t="shared" si="2"/>
        <v>6500.4</v>
      </c>
    </row>
    <row r="19" spans="1:4" x14ac:dyDescent="0.2">
      <c r="A19" s="1">
        <v>6694</v>
      </c>
      <c r="B19" s="1">
        <f t="shared" si="0"/>
        <v>4284.16</v>
      </c>
      <c r="C19" s="1">
        <f t="shared" si="1"/>
        <v>6694</v>
      </c>
      <c r="D19" s="1">
        <f t="shared" si="2"/>
        <v>8032.7999999999993</v>
      </c>
    </row>
    <row r="20" spans="1:4" x14ac:dyDescent="0.2">
      <c r="A20" s="1">
        <v>8139</v>
      </c>
      <c r="B20" s="1">
        <f t="shared" si="0"/>
        <v>5208.96</v>
      </c>
      <c r="C20" s="1">
        <f t="shared" si="1"/>
        <v>8139</v>
      </c>
      <c r="D20" s="1">
        <f t="shared" si="2"/>
        <v>9766.7999999999993</v>
      </c>
    </row>
    <row r="21" spans="1:4" x14ac:dyDescent="0.2">
      <c r="A21" s="1">
        <v>9393</v>
      </c>
      <c r="B21" s="1">
        <f t="shared" si="0"/>
        <v>6011.52</v>
      </c>
      <c r="C21" s="1">
        <f t="shared" si="1"/>
        <v>9393</v>
      </c>
      <c r="D21" s="1">
        <f t="shared" si="2"/>
        <v>11271.6</v>
      </c>
    </row>
    <row r="22" spans="1:4" x14ac:dyDescent="0.2">
      <c r="A22" s="1">
        <v>11173</v>
      </c>
      <c r="B22" s="1">
        <f t="shared" si="0"/>
        <v>7150.72</v>
      </c>
      <c r="C22" s="1">
        <f t="shared" si="1"/>
        <v>11173</v>
      </c>
      <c r="D22" s="1">
        <f t="shared" si="2"/>
        <v>13407.6</v>
      </c>
    </row>
    <row r="23" spans="1:4" x14ac:dyDescent="0.2">
      <c r="A23" s="1">
        <v>11087</v>
      </c>
      <c r="B23" s="1">
        <f t="shared" si="0"/>
        <v>7095.68</v>
      </c>
      <c r="C23" s="1">
        <f t="shared" si="1"/>
        <v>11087</v>
      </c>
      <c r="D23" s="1">
        <f t="shared" si="2"/>
        <v>13304.4</v>
      </c>
    </row>
    <row r="24" spans="1:4" x14ac:dyDescent="0.2">
      <c r="A24" s="1">
        <v>10357</v>
      </c>
      <c r="B24" s="1">
        <f t="shared" si="0"/>
        <v>6628.4800000000005</v>
      </c>
      <c r="C24" s="1">
        <f t="shared" si="1"/>
        <v>10357</v>
      </c>
      <c r="D24" s="1">
        <f t="shared" si="2"/>
        <v>12428.4</v>
      </c>
    </row>
    <row r="25" spans="1:4" x14ac:dyDescent="0.2">
      <c r="A25" s="1">
        <v>11396</v>
      </c>
      <c r="B25" s="1">
        <f t="shared" si="0"/>
        <v>7293.4400000000005</v>
      </c>
      <c r="C25" s="1">
        <f t="shared" si="1"/>
        <v>11396</v>
      </c>
      <c r="D25" s="1">
        <f t="shared" si="2"/>
        <v>13675.199999999999</v>
      </c>
    </row>
    <row r="26" spans="1:4" x14ac:dyDescent="0.2">
      <c r="A26" s="1">
        <v>9139</v>
      </c>
      <c r="B26" s="1">
        <f t="shared" si="0"/>
        <v>5848.96</v>
      </c>
      <c r="C26" s="1">
        <f t="shared" si="1"/>
        <v>9139</v>
      </c>
      <c r="D26" s="1">
        <f t="shared" si="2"/>
        <v>10966.8</v>
      </c>
    </row>
    <row r="27" spans="1:4" x14ac:dyDescent="0.2">
      <c r="A27" s="1">
        <v>7851</v>
      </c>
      <c r="B27" s="1">
        <f t="shared" si="0"/>
        <v>5024.6400000000003</v>
      </c>
      <c r="C27" s="1">
        <f t="shared" si="1"/>
        <v>7851</v>
      </c>
      <c r="D27" s="1">
        <f t="shared" si="2"/>
        <v>9421.1999999999989</v>
      </c>
    </row>
    <row r="28" spans="1:4" x14ac:dyDescent="0.2">
      <c r="A28" s="1">
        <v>7036</v>
      </c>
      <c r="B28" s="1">
        <f t="shared" si="0"/>
        <v>4503.04</v>
      </c>
      <c r="C28" s="1">
        <f t="shared" si="1"/>
        <v>7036</v>
      </c>
      <c r="D28" s="1">
        <f t="shared" si="2"/>
        <v>8443.1999999999989</v>
      </c>
    </row>
    <row r="29" spans="1:4" x14ac:dyDescent="0.2">
      <c r="A29" s="1">
        <v>5940</v>
      </c>
      <c r="B29" s="1">
        <f t="shared" si="0"/>
        <v>3801.6</v>
      </c>
      <c r="C29" s="1">
        <f t="shared" si="1"/>
        <v>5940</v>
      </c>
      <c r="D29" s="1">
        <f t="shared" si="2"/>
        <v>7128</v>
      </c>
    </row>
    <row r="30" spans="1:4" x14ac:dyDescent="0.2">
      <c r="A30" s="1">
        <v>5258</v>
      </c>
      <c r="B30" s="1">
        <f t="shared" si="0"/>
        <v>3365.12</v>
      </c>
      <c r="C30" s="1">
        <f t="shared" si="1"/>
        <v>5258</v>
      </c>
      <c r="D30" s="1">
        <f t="shared" si="2"/>
        <v>6309.5999999999995</v>
      </c>
    </row>
    <row r="31" spans="1:4" x14ac:dyDescent="0.2">
      <c r="A31" s="1">
        <v>4788</v>
      </c>
      <c r="B31" s="1">
        <f t="shared" si="0"/>
        <v>3064.32</v>
      </c>
      <c r="C31" s="1">
        <f t="shared" si="1"/>
        <v>4788</v>
      </c>
      <c r="D31" s="1">
        <f>A31*1.1</f>
        <v>5266.8</v>
      </c>
    </row>
    <row r="32" spans="1:4" x14ac:dyDescent="0.2">
      <c r="A32" s="1">
        <v>4200</v>
      </c>
      <c r="B32" s="1">
        <f t="shared" si="0"/>
        <v>2688</v>
      </c>
      <c r="C32" s="1">
        <f t="shared" si="1"/>
        <v>4200</v>
      </c>
      <c r="D32" s="1">
        <f t="shared" ref="D32:D64" si="3">A32*1.1</f>
        <v>4620</v>
      </c>
    </row>
    <row r="33" spans="1:4" x14ac:dyDescent="0.2">
      <c r="A33" s="1">
        <v>3969</v>
      </c>
      <c r="B33" s="1">
        <f t="shared" si="0"/>
        <v>2540.16</v>
      </c>
      <c r="C33" s="1">
        <f t="shared" si="1"/>
        <v>3969</v>
      </c>
      <c r="D33" s="1">
        <f t="shared" si="3"/>
        <v>4365.9000000000005</v>
      </c>
    </row>
    <row r="34" spans="1:4" x14ac:dyDescent="0.2">
      <c r="A34" s="1">
        <v>3742</v>
      </c>
      <c r="B34" s="1">
        <f t="shared" si="0"/>
        <v>2394.88</v>
      </c>
      <c r="C34" s="1">
        <f t="shared" si="1"/>
        <v>3742</v>
      </c>
      <c r="D34" s="1">
        <f t="shared" si="3"/>
        <v>4116.2000000000007</v>
      </c>
    </row>
    <row r="35" spans="1:4" x14ac:dyDescent="0.2">
      <c r="A35" s="1">
        <v>3487</v>
      </c>
      <c r="B35" s="1">
        <f t="shared" si="0"/>
        <v>2231.6799999999998</v>
      </c>
      <c r="C35" s="1">
        <f t="shared" si="1"/>
        <v>3487</v>
      </c>
      <c r="D35" s="1">
        <f t="shared" si="3"/>
        <v>3835.7000000000003</v>
      </c>
    </row>
    <row r="36" spans="1:4" x14ac:dyDescent="0.2">
      <c r="A36" s="1">
        <v>3320</v>
      </c>
      <c r="B36" s="1">
        <f t="shared" si="0"/>
        <v>2124.8000000000002</v>
      </c>
      <c r="C36" s="1">
        <f t="shared" si="1"/>
        <v>3320</v>
      </c>
      <c r="D36" s="1">
        <f t="shared" si="3"/>
        <v>3652.0000000000005</v>
      </c>
    </row>
    <row r="37" spans="1:4" x14ac:dyDescent="0.2">
      <c r="A37" s="1">
        <v>3084</v>
      </c>
      <c r="B37" s="1">
        <f t="shared" si="0"/>
        <v>1973.76</v>
      </c>
      <c r="C37" s="1">
        <f t="shared" si="1"/>
        <v>3084</v>
      </c>
      <c r="D37" s="1">
        <f t="shared" si="3"/>
        <v>3392.4</v>
      </c>
    </row>
    <row r="38" spans="1:4" x14ac:dyDescent="0.2">
      <c r="A38" s="1">
        <v>2919</v>
      </c>
      <c r="B38" s="1">
        <f t="shared" si="0"/>
        <v>1868.16</v>
      </c>
      <c r="C38" s="1">
        <f t="shared" si="1"/>
        <v>2919</v>
      </c>
      <c r="D38" s="1">
        <f t="shared" si="3"/>
        <v>3210.9</v>
      </c>
    </row>
    <row r="39" spans="1:4" x14ac:dyDescent="0.2">
      <c r="A39" s="1">
        <v>2832</v>
      </c>
      <c r="B39" s="1">
        <f t="shared" si="0"/>
        <v>1812.48</v>
      </c>
      <c r="C39" s="1">
        <f t="shared" si="1"/>
        <v>2832</v>
      </c>
      <c r="D39" s="1">
        <f t="shared" si="3"/>
        <v>3115.2000000000003</v>
      </c>
    </row>
    <row r="40" spans="1:4" x14ac:dyDescent="0.2">
      <c r="A40" s="1">
        <v>2793</v>
      </c>
      <c r="B40" s="1">
        <f t="shared" si="0"/>
        <v>1787.52</v>
      </c>
      <c r="C40" s="1">
        <f t="shared" si="1"/>
        <v>2793</v>
      </c>
      <c r="D40" s="1">
        <f t="shared" si="3"/>
        <v>3072.3</v>
      </c>
    </row>
    <row r="41" spans="1:4" x14ac:dyDescent="0.2">
      <c r="A41" s="1">
        <v>2719</v>
      </c>
      <c r="B41" s="1">
        <f t="shared" si="0"/>
        <v>1740.16</v>
      </c>
      <c r="C41" s="1">
        <f t="shared" si="1"/>
        <v>2719</v>
      </c>
      <c r="D41" s="1">
        <f t="shared" si="3"/>
        <v>2990.9</v>
      </c>
    </row>
    <row r="42" spans="1:4" x14ac:dyDescent="0.2">
      <c r="A42" s="1">
        <v>2496</v>
      </c>
      <c r="B42" s="1">
        <f t="shared" si="0"/>
        <v>1597.44</v>
      </c>
      <c r="C42" s="1">
        <f t="shared" si="1"/>
        <v>2496</v>
      </c>
      <c r="D42" s="1">
        <f t="shared" si="3"/>
        <v>2745.6000000000004</v>
      </c>
    </row>
    <row r="43" spans="1:4" x14ac:dyDescent="0.2">
      <c r="A43" s="1">
        <v>2304</v>
      </c>
      <c r="B43" s="1">
        <f t="shared" si="0"/>
        <v>1474.56</v>
      </c>
      <c r="C43" s="1">
        <f t="shared" si="1"/>
        <v>2304</v>
      </c>
      <c r="D43" s="1">
        <f t="shared" si="3"/>
        <v>2534.4</v>
      </c>
    </row>
    <row r="44" spans="1:4" x14ac:dyDescent="0.2">
      <c r="A44" s="1">
        <v>2164</v>
      </c>
      <c r="B44" s="1">
        <f t="shared" si="0"/>
        <v>1384.96</v>
      </c>
      <c r="C44" s="1">
        <f t="shared" si="1"/>
        <v>2164</v>
      </c>
      <c r="D44" s="1">
        <f t="shared" si="3"/>
        <v>2380.4</v>
      </c>
    </row>
    <row r="45" spans="1:4" x14ac:dyDescent="0.2">
      <c r="A45" s="1">
        <v>2111</v>
      </c>
      <c r="B45" s="1">
        <f t="shared" si="0"/>
        <v>1351.04</v>
      </c>
      <c r="C45" s="1">
        <f t="shared" si="1"/>
        <v>2111</v>
      </c>
      <c r="D45" s="1">
        <f t="shared" si="3"/>
        <v>2322.1000000000004</v>
      </c>
    </row>
    <row r="46" spans="1:4" x14ac:dyDescent="0.2">
      <c r="A46" s="1">
        <v>2033</v>
      </c>
      <c r="B46" s="1">
        <f t="shared" si="0"/>
        <v>1301.1200000000001</v>
      </c>
      <c r="C46" s="1">
        <f t="shared" si="1"/>
        <v>2033</v>
      </c>
      <c r="D46" s="1">
        <f t="shared" si="3"/>
        <v>2236.3000000000002</v>
      </c>
    </row>
    <row r="47" spans="1:4" x14ac:dyDescent="0.2">
      <c r="A47" s="1">
        <v>1890</v>
      </c>
      <c r="B47" s="1">
        <f t="shared" si="0"/>
        <v>1209.6000000000001</v>
      </c>
      <c r="C47" s="1">
        <f t="shared" si="1"/>
        <v>1890</v>
      </c>
      <c r="D47" s="1">
        <f t="shared" si="3"/>
        <v>2079</v>
      </c>
    </row>
    <row r="48" spans="1:4" x14ac:dyDescent="0.2">
      <c r="A48" s="1">
        <v>1833</v>
      </c>
      <c r="B48" s="1">
        <f t="shared" si="0"/>
        <v>1173.1200000000001</v>
      </c>
      <c r="C48" s="1">
        <f t="shared" si="1"/>
        <v>1833</v>
      </c>
      <c r="D48" s="1">
        <f t="shared" si="3"/>
        <v>2016.3000000000002</v>
      </c>
    </row>
    <row r="49" spans="1:4" x14ac:dyDescent="0.2">
      <c r="A49" s="1">
        <v>1740</v>
      </c>
      <c r="B49" s="1">
        <f t="shared" si="0"/>
        <v>1113.6000000000001</v>
      </c>
      <c r="C49" s="1">
        <f t="shared" si="1"/>
        <v>1740</v>
      </c>
      <c r="D49" s="1">
        <f t="shared" si="3"/>
        <v>1914.0000000000002</v>
      </c>
    </row>
    <row r="50" spans="1:4" x14ac:dyDescent="0.2">
      <c r="A50" s="1">
        <v>1649</v>
      </c>
      <c r="B50" s="1">
        <f t="shared" si="0"/>
        <v>1055.3600000000001</v>
      </c>
      <c r="C50" s="1">
        <f t="shared" si="1"/>
        <v>1649</v>
      </c>
      <c r="D50" s="1">
        <f t="shared" si="3"/>
        <v>1813.9</v>
      </c>
    </row>
    <row r="51" spans="1:4" x14ac:dyDescent="0.2">
      <c r="A51" s="1">
        <v>1558</v>
      </c>
      <c r="B51" s="1">
        <f t="shared" si="0"/>
        <v>997.12</v>
      </c>
      <c r="C51" s="1">
        <f t="shared" si="1"/>
        <v>1558</v>
      </c>
      <c r="D51" s="1">
        <f t="shared" si="3"/>
        <v>1713.8000000000002</v>
      </c>
    </row>
    <row r="52" spans="1:4" x14ac:dyDescent="0.2">
      <c r="A52" s="1">
        <v>1455</v>
      </c>
      <c r="B52" s="1">
        <f t="shared" si="0"/>
        <v>931.2</v>
      </c>
      <c r="C52" s="1">
        <f t="shared" si="1"/>
        <v>1455</v>
      </c>
      <c r="D52" s="1">
        <f t="shared" si="3"/>
        <v>1600.5000000000002</v>
      </c>
    </row>
    <row r="53" spans="1:4" x14ac:dyDescent="0.2">
      <c r="A53" s="1">
        <v>1405</v>
      </c>
      <c r="B53" s="1">
        <f t="shared" si="0"/>
        <v>899.2</v>
      </c>
      <c r="C53" s="1">
        <f t="shared" si="1"/>
        <v>1405</v>
      </c>
      <c r="D53" s="1">
        <f t="shared" si="3"/>
        <v>1545.5000000000002</v>
      </c>
    </row>
    <row r="54" spans="1:4" x14ac:dyDescent="0.2">
      <c r="A54" s="1">
        <v>1362</v>
      </c>
      <c r="B54" s="1">
        <f t="shared" si="0"/>
        <v>871.68000000000006</v>
      </c>
      <c r="C54" s="1">
        <f t="shared" si="1"/>
        <v>1362</v>
      </c>
      <c r="D54" s="1">
        <f t="shared" si="3"/>
        <v>1498.2</v>
      </c>
    </row>
    <row r="55" spans="1:4" x14ac:dyDescent="0.2">
      <c r="A55" s="1">
        <v>1301</v>
      </c>
      <c r="B55" s="1">
        <f t="shared" si="0"/>
        <v>832.64</v>
      </c>
      <c r="C55" s="1">
        <f t="shared" si="1"/>
        <v>1301</v>
      </c>
      <c r="D55" s="1">
        <f t="shared" si="3"/>
        <v>1431.1000000000001</v>
      </c>
    </row>
    <row r="56" spans="1:4" x14ac:dyDescent="0.2">
      <c r="A56" s="1">
        <v>1242</v>
      </c>
      <c r="B56" s="1">
        <f t="shared" si="0"/>
        <v>794.88</v>
      </c>
      <c r="C56" s="1">
        <f t="shared" si="1"/>
        <v>1242</v>
      </c>
      <c r="D56" s="1">
        <f t="shared" si="3"/>
        <v>1366.2</v>
      </c>
    </row>
    <row r="57" spans="1:4" x14ac:dyDescent="0.2">
      <c r="A57" s="1">
        <v>1171</v>
      </c>
      <c r="B57" s="1">
        <f t="shared" si="0"/>
        <v>749.44</v>
      </c>
      <c r="C57" s="1">
        <f t="shared" si="1"/>
        <v>1171</v>
      </c>
      <c r="D57" s="1">
        <f t="shared" si="3"/>
        <v>1288.1000000000001</v>
      </c>
    </row>
    <row r="58" spans="1:4" x14ac:dyDescent="0.2">
      <c r="A58" s="1">
        <v>1106</v>
      </c>
      <c r="B58" s="1">
        <f t="shared" si="0"/>
        <v>707.84</v>
      </c>
      <c r="C58" s="1">
        <f t="shared" si="1"/>
        <v>1106</v>
      </c>
      <c r="D58" s="1">
        <f t="shared" si="3"/>
        <v>1216.6000000000001</v>
      </c>
    </row>
    <row r="59" spans="1:4" x14ac:dyDescent="0.2">
      <c r="A59" s="1">
        <v>1044</v>
      </c>
      <c r="B59" s="1">
        <f t="shared" si="0"/>
        <v>668.16</v>
      </c>
      <c r="C59" s="1">
        <f t="shared" si="1"/>
        <v>1044</v>
      </c>
      <c r="D59" s="1">
        <f t="shared" si="3"/>
        <v>1148.4000000000001</v>
      </c>
    </row>
    <row r="60" spans="1:4" x14ac:dyDescent="0.2">
      <c r="A60" s="1">
        <v>974</v>
      </c>
      <c r="B60" s="1">
        <f t="shared" si="0"/>
        <v>623.36</v>
      </c>
      <c r="C60" s="1">
        <f t="shared" si="1"/>
        <v>974</v>
      </c>
      <c r="D60" s="1">
        <f t="shared" si="3"/>
        <v>1071.4000000000001</v>
      </c>
    </row>
    <row r="61" spans="1:4" x14ac:dyDescent="0.2">
      <c r="A61" s="1">
        <v>884</v>
      </c>
      <c r="B61" s="1">
        <f t="shared" si="0"/>
        <v>565.76</v>
      </c>
      <c r="C61" s="1">
        <f t="shared" si="1"/>
        <v>884</v>
      </c>
      <c r="D61" s="1">
        <f t="shared" si="3"/>
        <v>972.40000000000009</v>
      </c>
    </row>
    <row r="62" spans="1:4" x14ac:dyDescent="0.2">
      <c r="A62" s="1">
        <v>826</v>
      </c>
      <c r="B62" s="1">
        <f t="shared" si="0"/>
        <v>528.64</v>
      </c>
      <c r="C62" s="1">
        <f t="shared" si="1"/>
        <v>826</v>
      </c>
      <c r="D62" s="1">
        <f t="shared" si="3"/>
        <v>908.6</v>
      </c>
    </row>
    <row r="63" spans="1:4" x14ac:dyDescent="0.2">
      <c r="A63" s="1">
        <v>772</v>
      </c>
      <c r="B63" s="1">
        <f t="shared" si="0"/>
        <v>494.08</v>
      </c>
      <c r="C63" s="1">
        <f t="shared" si="1"/>
        <v>772</v>
      </c>
      <c r="D63" s="1">
        <f t="shared" si="3"/>
        <v>849.2</v>
      </c>
    </row>
    <row r="64" spans="1:4" x14ac:dyDescent="0.2">
      <c r="A64" s="1">
        <v>716</v>
      </c>
      <c r="B64" s="1">
        <f t="shared" si="0"/>
        <v>458.24</v>
      </c>
      <c r="C64" s="1">
        <f t="shared" si="1"/>
        <v>716</v>
      </c>
      <c r="D64" s="1">
        <f t="shared" si="3"/>
        <v>787.6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88A5-71FA-4391-830B-1E1458376D79}">
  <dimension ref="A1:C64"/>
  <sheetViews>
    <sheetView topLeftCell="A28" workbookViewId="0">
      <selection activeCell="G10" sqref="G10"/>
    </sheetView>
  </sheetViews>
  <sheetFormatPr defaultRowHeight="14.25" x14ac:dyDescent="0.2"/>
  <sheetData>
    <row r="1" spans="1:3" x14ac:dyDescent="0.2">
      <c r="A1">
        <v>2177.92</v>
      </c>
      <c r="B1">
        <v>3403</v>
      </c>
      <c r="C1">
        <v>4083.6</v>
      </c>
    </row>
    <row r="2" spans="1:3" x14ac:dyDescent="0.2">
      <c r="A2">
        <v>2488.96</v>
      </c>
      <c r="B2">
        <v>3889</v>
      </c>
      <c r="C2">
        <v>4666.8</v>
      </c>
    </row>
    <row r="3" spans="1:3" x14ac:dyDescent="0.2">
      <c r="A3">
        <v>2896</v>
      </c>
      <c r="B3">
        <v>4525</v>
      </c>
      <c r="C3">
        <v>5430</v>
      </c>
    </row>
    <row r="4" spans="1:3" x14ac:dyDescent="0.2">
      <c r="A4">
        <v>3067.52</v>
      </c>
      <c r="B4">
        <v>4793</v>
      </c>
      <c r="C4">
        <v>5751.5999999999995</v>
      </c>
    </row>
    <row r="5" spans="1:3" x14ac:dyDescent="0.2">
      <c r="A5">
        <v>3302.4</v>
      </c>
      <c r="B5">
        <v>5160</v>
      </c>
      <c r="C5">
        <v>6192</v>
      </c>
    </row>
    <row r="6" spans="1:3" x14ac:dyDescent="0.2">
      <c r="A6">
        <v>3653.12</v>
      </c>
      <c r="B6">
        <v>5708</v>
      </c>
      <c r="C6">
        <v>6849.5999999999995</v>
      </c>
    </row>
    <row r="7" spans="1:3" x14ac:dyDescent="0.2">
      <c r="A7">
        <v>3731.2000000000003</v>
      </c>
      <c r="B7">
        <v>5830</v>
      </c>
      <c r="C7">
        <v>6996</v>
      </c>
    </row>
    <row r="8" spans="1:3" x14ac:dyDescent="0.2">
      <c r="A8">
        <v>3654.4</v>
      </c>
      <c r="B8">
        <v>5710</v>
      </c>
      <c r="C8">
        <v>6852</v>
      </c>
    </row>
    <row r="9" spans="1:3" x14ac:dyDescent="0.2">
      <c r="A9">
        <v>4336.6400000000003</v>
      </c>
      <c r="B9">
        <v>6776</v>
      </c>
      <c r="C9">
        <v>8131.2</v>
      </c>
    </row>
    <row r="10" spans="1:3" x14ac:dyDescent="0.2">
      <c r="A10">
        <v>3852.8</v>
      </c>
      <c r="B10">
        <v>6020</v>
      </c>
      <c r="C10">
        <v>7224</v>
      </c>
    </row>
    <row r="11" spans="1:3" x14ac:dyDescent="0.2">
      <c r="A11">
        <v>3904</v>
      </c>
      <c r="B11">
        <v>6100</v>
      </c>
      <c r="C11">
        <v>7320</v>
      </c>
    </row>
    <row r="12" spans="1:3" x14ac:dyDescent="0.2">
      <c r="A12">
        <v>3840.64</v>
      </c>
      <c r="B12">
        <v>6001</v>
      </c>
      <c r="C12">
        <v>7201.2</v>
      </c>
    </row>
    <row r="13" spans="1:3" x14ac:dyDescent="0.2">
      <c r="A13">
        <v>4113.28</v>
      </c>
      <c r="B13">
        <v>6427</v>
      </c>
      <c r="C13">
        <v>7712.4</v>
      </c>
    </row>
    <row r="14" spans="1:3" x14ac:dyDescent="0.2">
      <c r="A14">
        <v>4245.76</v>
      </c>
      <c r="B14">
        <v>6634</v>
      </c>
      <c r="C14">
        <v>7960.7999999999993</v>
      </c>
    </row>
    <row r="15" spans="1:3" x14ac:dyDescent="0.2">
      <c r="A15">
        <v>4046.08</v>
      </c>
      <c r="B15">
        <v>6322</v>
      </c>
      <c r="C15">
        <v>7586.4</v>
      </c>
    </row>
    <row r="16" spans="1:3" x14ac:dyDescent="0.2">
      <c r="A16">
        <v>3701.76</v>
      </c>
      <c r="B16">
        <v>5784</v>
      </c>
      <c r="C16">
        <v>6940.8</v>
      </c>
    </row>
    <row r="17" spans="1:3" x14ac:dyDescent="0.2">
      <c r="A17">
        <v>3671.04</v>
      </c>
      <c r="B17">
        <v>5736</v>
      </c>
      <c r="C17">
        <v>6883.2</v>
      </c>
    </row>
    <row r="18" spans="1:3" x14ac:dyDescent="0.2">
      <c r="A18">
        <v>3466.88</v>
      </c>
      <c r="B18">
        <v>5417</v>
      </c>
      <c r="C18">
        <v>6500.4</v>
      </c>
    </row>
    <row r="19" spans="1:3" x14ac:dyDescent="0.2">
      <c r="A19">
        <v>4284.16</v>
      </c>
      <c r="B19">
        <v>6694</v>
      </c>
      <c r="C19">
        <v>8032.7999999999993</v>
      </c>
    </row>
    <row r="20" spans="1:3" x14ac:dyDescent="0.2">
      <c r="A20">
        <v>5208.96</v>
      </c>
      <c r="B20">
        <v>8139</v>
      </c>
      <c r="C20">
        <v>9766.7999999999993</v>
      </c>
    </row>
    <row r="21" spans="1:3" x14ac:dyDescent="0.2">
      <c r="A21">
        <v>6011.52</v>
      </c>
      <c r="B21">
        <v>9393</v>
      </c>
      <c r="C21">
        <v>11271.6</v>
      </c>
    </row>
    <row r="22" spans="1:3" x14ac:dyDescent="0.2">
      <c r="A22">
        <v>7150.72</v>
      </c>
      <c r="B22">
        <v>11173</v>
      </c>
      <c r="C22">
        <v>13407.6</v>
      </c>
    </row>
    <row r="23" spans="1:3" x14ac:dyDescent="0.2">
      <c r="A23">
        <v>7095.68</v>
      </c>
      <c r="B23">
        <v>11087</v>
      </c>
      <c r="C23">
        <v>13304.4</v>
      </c>
    </row>
    <row r="24" spans="1:3" x14ac:dyDescent="0.2">
      <c r="A24">
        <v>6628.4800000000005</v>
      </c>
      <c r="B24">
        <v>10357</v>
      </c>
      <c r="C24">
        <v>12428.4</v>
      </c>
    </row>
    <row r="25" spans="1:3" x14ac:dyDescent="0.2">
      <c r="A25">
        <v>7293.4400000000005</v>
      </c>
      <c r="B25">
        <v>11396</v>
      </c>
      <c r="C25">
        <v>13675.199999999999</v>
      </c>
    </row>
    <row r="26" spans="1:3" x14ac:dyDescent="0.2">
      <c r="A26">
        <v>5848.96</v>
      </c>
      <c r="B26">
        <v>9139</v>
      </c>
      <c r="C26">
        <v>10966.8</v>
      </c>
    </row>
    <row r="27" spans="1:3" x14ac:dyDescent="0.2">
      <c r="A27">
        <v>5024.6400000000003</v>
      </c>
      <c r="B27">
        <v>7851</v>
      </c>
      <c r="C27">
        <v>9421.1999999999989</v>
      </c>
    </row>
    <row r="28" spans="1:3" x14ac:dyDescent="0.2">
      <c r="A28">
        <v>4503.04</v>
      </c>
      <c r="B28">
        <v>7036</v>
      </c>
      <c r="C28">
        <v>8443.1999999999989</v>
      </c>
    </row>
    <row r="29" spans="1:3" x14ac:dyDescent="0.2">
      <c r="A29">
        <v>3801.6</v>
      </c>
      <c r="B29">
        <v>5940</v>
      </c>
      <c r="C29">
        <v>7128</v>
      </c>
    </row>
    <row r="30" spans="1:3" x14ac:dyDescent="0.2">
      <c r="A30">
        <v>3365.12</v>
      </c>
      <c r="B30">
        <v>5258</v>
      </c>
      <c r="C30">
        <v>6309.5999999999995</v>
      </c>
    </row>
    <row r="31" spans="1:3" x14ac:dyDescent="0.2">
      <c r="A31">
        <v>3064.32</v>
      </c>
      <c r="B31">
        <v>4788</v>
      </c>
      <c r="C31">
        <v>5266.8</v>
      </c>
    </row>
    <row r="32" spans="1:3" x14ac:dyDescent="0.2">
      <c r="A32">
        <v>2688</v>
      </c>
      <c r="B32">
        <v>4200</v>
      </c>
      <c r="C32">
        <v>4620</v>
      </c>
    </row>
    <row r="33" spans="1:3" x14ac:dyDescent="0.2">
      <c r="A33">
        <v>2540.16</v>
      </c>
      <c r="B33">
        <v>3969</v>
      </c>
      <c r="C33">
        <v>4365.9000000000005</v>
      </c>
    </row>
    <row r="34" spans="1:3" x14ac:dyDescent="0.2">
      <c r="A34">
        <v>2394.88</v>
      </c>
      <c r="B34">
        <v>3742</v>
      </c>
      <c r="C34">
        <v>4116.2000000000007</v>
      </c>
    </row>
    <row r="35" spans="1:3" x14ac:dyDescent="0.2">
      <c r="A35">
        <v>2231.6799999999998</v>
      </c>
      <c r="B35">
        <v>3487</v>
      </c>
      <c r="C35">
        <v>3835.7000000000003</v>
      </c>
    </row>
    <row r="36" spans="1:3" x14ac:dyDescent="0.2">
      <c r="A36">
        <v>2124.8000000000002</v>
      </c>
      <c r="B36">
        <v>3320</v>
      </c>
      <c r="C36">
        <v>3652.0000000000005</v>
      </c>
    </row>
    <row r="37" spans="1:3" x14ac:dyDescent="0.2">
      <c r="A37">
        <v>1973.76</v>
      </c>
      <c r="B37">
        <v>3084</v>
      </c>
      <c r="C37">
        <v>3392.4</v>
      </c>
    </row>
    <row r="38" spans="1:3" x14ac:dyDescent="0.2">
      <c r="A38">
        <v>1868.16</v>
      </c>
      <c r="B38">
        <v>2919</v>
      </c>
      <c r="C38">
        <v>3210.9</v>
      </c>
    </row>
    <row r="39" spans="1:3" x14ac:dyDescent="0.2">
      <c r="A39">
        <v>1812.48</v>
      </c>
      <c r="B39">
        <v>2832</v>
      </c>
      <c r="C39">
        <v>3115.2000000000003</v>
      </c>
    </row>
    <row r="40" spans="1:3" x14ac:dyDescent="0.2">
      <c r="A40">
        <v>1787.52</v>
      </c>
      <c r="B40">
        <v>2793</v>
      </c>
      <c r="C40">
        <v>3072.3</v>
      </c>
    </row>
    <row r="41" spans="1:3" x14ac:dyDescent="0.2">
      <c r="A41">
        <v>1740.16</v>
      </c>
      <c r="B41">
        <v>2719</v>
      </c>
      <c r="C41">
        <v>2990.9</v>
      </c>
    </row>
    <row r="42" spans="1:3" x14ac:dyDescent="0.2">
      <c r="A42">
        <v>1597.44</v>
      </c>
      <c r="B42">
        <v>2496</v>
      </c>
      <c r="C42">
        <v>2745.6000000000004</v>
      </c>
    </row>
    <row r="43" spans="1:3" x14ac:dyDescent="0.2">
      <c r="A43">
        <v>1474.56</v>
      </c>
      <c r="B43">
        <v>2304</v>
      </c>
      <c r="C43">
        <v>2534.4</v>
      </c>
    </row>
    <row r="44" spans="1:3" x14ac:dyDescent="0.2">
      <c r="A44">
        <v>1384.96</v>
      </c>
      <c r="B44">
        <v>2164</v>
      </c>
      <c r="C44">
        <v>2380.4</v>
      </c>
    </row>
    <row r="45" spans="1:3" x14ac:dyDescent="0.2">
      <c r="A45">
        <v>1351.04</v>
      </c>
      <c r="B45">
        <v>2111</v>
      </c>
      <c r="C45">
        <v>2322.1000000000004</v>
      </c>
    </row>
    <row r="46" spans="1:3" x14ac:dyDescent="0.2">
      <c r="A46">
        <v>1301.1200000000001</v>
      </c>
      <c r="B46">
        <v>2033</v>
      </c>
      <c r="C46">
        <v>2236.3000000000002</v>
      </c>
    </row>
    <row r="47" spans="1:3" x14ac:dyDescent="0.2">
      <c r="A47">
        <v>1209.6000000000001</v>
      </c>
      <c r="B47">
        <v>1890</v>
      </c>
      <c r="C47">
        <v>2079</v>
      </c>
    </row>
    <row r="48" spans="1:3" x14ac:dyDescent="0.2">
      <c r="A48">
        <v>1173.1200000000001</v>
      </c>
      <c r="B48">
        <v>1833</v>
      </c>
      <c r="C48">
        <v>2016.3000000000002</v>
      </c>
    </row>
    <row r="49" spans="1:3" x14ac:dyDescent="0.2">
      <c r="A49">
        <v>1113.6000000000001</v>
      </c>
      <c r="B49">
        <v>1740</v>
      </c>
      <c r="C49">
        <v>1914.0000000000002</v>
      </c>
    </row>
    <row r="50" spans="1:3" x14ac:dyDescent="0.2">
      <c r="A50">
        <v>1055.3600000000001</v>
      </c>
      <c r="B50">
        <v>1649</v>
      </c>
      <c r="C50">
        <v>1813.9</v>
      </c>
    </row>
    <row r="51" spans="1:3" x14ac:dyDescent="0.2">
      <c r="A51">
        <v>997.12</v>
      </c>
      <c r="B51">
        <v>1558</v>
      </c>
      <c r="C51">
        <v>1713.8000000000002</v>
      </c>
    </row>
    <row r="52" spans="1:3" x14ac:dyDescent="0.2">
      <c r="A52">
        <v>931.2</v>
      </c>
      <c r="B52">
        <v>1455</v>
      </c>
      <c r="C52">
        <v>1600.5000000000002</v>
      </c>
    </row>
    <row r="53" spans="1:3" x14ac:dyDescent="0.2">
      <c r="A53">
        <v>899.2</v>
      </c>
      <c r="B53">
        <v>1405</v>
      </c>
      <c r="C53">
        <v>1545.5000000000002</v>
      </c>
    </row>
    <row r="54" spans="1:3" x14ac:dyDescent="0.2">
      <c r="A54">
        <v>871.68000000000006</v>
      </c>
      <c r="B54">
        <v>1362</v>
      </c>
      <c r="C54">
        <v>1498.2</v>
      </c>
    </row>
    <row r="55" spans="1:3" x14ac:dyDescent="0.2">
      <c r="A55">
        <v>832.64</v>
      </c>
      <c r="B55">
        <v>1301</v>
      </c>
      <c r="C55">
        <v>1431.1000000000001</v>
      </c>
    </row>
    <row r="56" spans="1:3" x14ac:dyDescent="0.2">
      <c r="A56">
        <v>794.88</v>
      </c>
      <c r="B56">
        <v>1242</v>
      </c>
      <c r="C56">
        <v>1366.2</v>
      </c>
    </row>
    <row r="57" spans="1:3" x14ac:dyDescent="0.2">
      <c r="A57">
        <v>749.44</v>
      </c>
      <c r="B57">
        <v>1171</v>
      </c>
      <c r="C57">
        <v>1288.1000000000001</v>
      </c>
    </row>
    <row r="58" spans="1:3" x14ac:dyDescent="0.2">
      <c r="A58">
        <v>707.84</v>
      </c>
      <c r="B58">
        <v>1106</v>
      </c>
      <c r="C58">
        <v>1216.6000000000001</v>
      </c>
    </row>
    <row r="59" spans="1:3" x14ac:dyDescent="0.2">
      <c r="A59">
        <v>668.16</v>
      </c>
      <c r="B59">
        <v>1044</v>
      </c>
      <c r="C59">
        <v>1148.4000000000001</v>
      </c>
    </row>
    <row r="60" spans="1:3" x14ac:dyDescent="0.2">
      <c r="A60">
        <v>623.36</v>
      </c>
      <c r="B60">
        <v>974</v>
      </c>
      <c r="C60">
        <v>1071.4000000000001</v>
      </c>
    </row>
    <row r="61" spans="1:3" x14ac:dyDescent="0.2">
      <c r="A61">
        <v>565.76</v>
      </c>
      <c r="B61">
        <v>884</v>
      </c>
      <c r="C61">
        <v>972.40000000000009</v>
      </c>
    </row>
    <row r="62" spans="1:3" x14ac:dyDescent="0.2">
      <c r="A62">
        <v>528.64</v>
      </c>
      <c r="B62">
        <v>826</v>
      </c>
      <c r="C62">
        <v>908.6</v>
      </c>
    </row>
    <row r="63" spans="1:3" x14ac:dyDescent="0.2">
      <c r="A63">
        <v>494.08</v>
      </c>
      <c r="B63">
        <v>772</v>
      </c>
      <c r="C63">
        <v>849.2</v>
      </c>
    </row>
    <row r="64" spans="1:3" x14ac:dyDescent="0.2">
      <c r="A64">
        <v>458.24</v>
      </c>
      <c r="B64">
        <v>716</v>
      </c>
      <c r="C64">
        <v>787.6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CA17-F14D-4CCC-A623-9D65466B61C6}">
  <dimension ref="A1:C64"/>
  <sheetViews>
    <sheetView workbookViewId="0">
      <selection activeCell="C9" sqref="C9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20</v>
      </c>
    </row>
    <row r="2" spans="1:3" x14ac:dyDescent="0.2">
      <c r="A2">
        <v>46.999999999999801</v>
      </c>
      <c r="B2">
        <v>83.999999999999403</v>
      </c>
      <c r="C2">
        <v>131.99999999999901</v>
      </c>
    </row>
    <row r="3" spans="1:3" x14ac:dyDescent="0.2">
      <c r="A3">
        <v>234</v>
      </c>
      <c r="B3">
        <v>365</v>
      </c>
      <c r="C3">
        <v>533</v>
      </c>
    </row>
    <row r="4" spans="1:3" x14ac:dyDescent="0.2">
      <c r="A4">
        <v>148</v>
      </c>
      <c r="B4">
        <v>232</v>
      </c>
      <c r="C4">
        <v>339</v>
      </c>
    </row>
    <row r="5" spans="1:3" x14ac:dyDescent="0.2">
      <c r="A5">
        <v>179</v>
      </c>
      <c r="B5">
        <v>279</v>
      </c>
      <c r="C5">
        <v>407</v>
      </c>
    </row>
    <row r="6" spans="1:3" x14ac:dyDescent="0.2">
      <c r="A6">
        <v>410</v>
      </c>
      <c r="B6">
        <v>640</v>
      </c>
      <c r="C6">
        <v>934</v>
      </c>
    </row>
    <row r="7" spans="1:3" x14ac:dyDescent="0.2">
      <c r="A7">
        <v>385</v>
      </c>
      <c r="B7">
        <v>602</v>
      </c>
      <c r="C7">
        <v>879</v>
      </c>
    </row>
    <row r="8" spans="1:3" x14ac:dyDescent="0.2">
      <c r="A8">
        <v>261</v>
      </c>
      <c r="B8">
        <v>408</v>
      </c>
      <c r="C8">
        <v>596</v>
      </c>
    </row>
    <row r="9" spans="1:3" x14ac:dyDescent="0.2">
      <c r="A9">
        <v>332</v>
      </c>
      <c r="B9">
        <v>519</v>
      </c>
      <c r="C9">
        <v>758</v>
      </c>
    </row>
    <row r="10" spans="1:3" x14ac:dyDescent="0.2">
      <c r="A10">
        <v>593</v>
      </c>
      <c r="B10">
        <v>927</v>
      </c>
      <c r="C10">
        <v>1353</v>
      </c>
    </row>
    <row r="11" spans="1:3" x14ac:dyDescent="0.2">
      <c r="A11">
        <v>682</v>
      </c>
      <c r="B11">
        <v>1065</v>
      </c>
      <c r="C11">
        <v>1451.9371564918799</v>
      </c>
    </row>
    <row r="12" spans="1:3" x14ac:dyDescent="0.2">
      <c r="A12">
        <v>742</v>
      </c>
      <c r="B12">
        <v>1159</v>
      </c>
      <c r="C12">
        <v>1795.0628435081201</v>
      </c>
    </row>
    <row r="13" spans="1:3" x14ac:dyDescent="0.2">
      <c r="A13">
        <v>1192</v>
      </c>
      <c r="B13">
        <v>1863</v>
      </c>
      <c r="C13">
        <v>1451.9371564918799</v>
      </c>
    </row>
    <row r="14" spans="1:3" x14ac:dyDescent="0.2">
      <c r="A14">
        <v>1677</v>
      </c>
      <c r="B14">
        <v>2621</v>
      </c>
      <c r="C14">
        <v>951.937156491878</v>
      </c>
    </row>
    <row r="15" spans="1:3" x14ac:dyDescent="0.2">
      <c r="A15">
        <v>1485</v>
      </c>
      <c r="B15">
        <v>2321</v>
      </c>
      <c r="C15">
        <v>1451.9371564918799</v>
      </c>
    </row>
    <row r="16" spans="1:3" x14ac:dyDescent="0.2">
      <c r="A16">
        <v>1002</v>
      </c>
      <c r="B16">
        <v>1566</v>
      </c>
      <c r="C16">
        <v>1951.9371564918799</v>
      </c>
    </row>
    <row r="17" spans="1:3" x14ac:dyDescent="0.2">
      <c r="A17">
        <v>1096</v>
      </c>
      <c r="B17">
        <v>1713</v>
      </c>
      <c r="C17">
        <v>1451.9371564918799</v>
      </c>
    </row>
    <row r="18" spans="1:3" x14ac:dyDescent="0.2">
      <c r="A18">
        <v>890</v>
      </c>
      <c r="B18">
        <v>1391</v>
      </c>
      <c r="C18">
        <v>1951.9371564918799</v>
      </c>
    </row>
    <row r="19" spans="1:3" x14ac:dyDescent="0.2">
      <c r="A19">
        <v>1719</v>
      </c>
      <c r="B19">
        <v>2686</v>
      </c>
      <c r="C19">
        <v>2451.9371564918802</v>
      </c>
    </row>
    <row r="20" spans="1:3" x14ac:dyDescent="0.2">
      <c r="A20">
        <v>3053</v>
      </c>
      <c r="B20">
        <v>4520</v>
      </c>
      <c r="C20">
        <v>1951.9371564918799</v>
      </c>
    </row>
    <row r="21" spans="1:3" x14ac:dyDescent="0.2">
      <c r="A21">
        <v>3907</v>
      </c>
      <c r="B21">
        <v>5020</v>
      </c>
      <c r="C21">
        <v>2451.9371564918802</v>
      </c>
    </row>
    <row r="22" spans="1:3" x14ac:dyDescent="0.2">
      <c r="A22">
        <v>4736.8528949899601</v>
      </c>
      <c r="B22">
        <v>5520</v>
      </c>
      <c r="C22">
        <v>2951.9371564918802</v>
      </c>
    </row>
    <row r="23" spans="1:3" x14ac:dyDescent="0.2">
      <c r="A23">
        <v>4236.8528949899601</v>
      </c>
      <c r="B23">
        <v>6020</v>
      </c>
      <c r="C23">
        <v>3451.9371564918802</v>
      </c>
    </row>
    <row r="24" spans="1:3" x14ac:dyDescent="0.2">
      <c r="A24">
        <v>3736.8528949899601</v>
      </c>
      <c r="B24">
        <v>5520</v>
      </c>
      <c r="C24">
        <v>2951.9371564918802</v>
      </c>
    </row>
    <row r="25" spans="1:3" x14ac:dyDescent="0.2">
      <c r="A25">
        <v>3236.8528949899601</v>
      </c>
      <c r="B25">
        <v>5020</v>
      </c>
      <c r="C25">
        <v>3451.9371564918802</v>
      </c>
    </row>
    <row r="26" spans="1:3" x14ac:dyDescent="0.2">
      <c r="A26">
        <v>2736.8528949899601</v>
      </c>
      <c r="B26">
        <v>5520</v>
      </c>
      <c r="C26">
        <v>3575.2984470871102</v>
      </c>
    </row>
    <row r="27" spans="1:3" x14ac:dyDescent="0.2">
      <c r="A27">
        <v>2236.8528949899601</v>
      </c>
      <c r="B27">
        <v>5020</v>
      </c>
      <c r="C27">
        <v>5672</v>
      </c>
    </row>
    <row r="28" spans="1:3" x14ac:dyDescent="0.2">
      <c r="A28">
        <v>2736.8528949899601</v>
      </c>
      <c r="B28">
        <v>5520</v>
      </c>
      <c r="C28">
        <v>5101</v>
      </c>
    </row>
    <row r="29" spans="1:3" x14ac:dyDescent="0.2">
      <c r="A29">
        <v>3236.8528949899601</v>
      </c>
      <c r="B29">
        <v>5053.50693929712</v>
      </c>
      <c r="C29">
        <v>4072</v>
      </c>
    </row>
    <row r="30" spans="1:3" x14ac:dyDescent="0.2">
      <c r="A30">
        <v>2736.8528949899601</v>
      </c>
      <c r="B30">
        <v>4553.50693929712</v>
      </c>
      <c r="C30">
        <v>3348</v>
      </c>
    </row>
    <row r="31" spans="1:3" x14ac:dyDescent="0.2">
      <c r="A31">
        <v>2150.3239450903502</v>
      </c>
      <c r="B31">
        <v>3247.9861214057601</v>
      </c>
      <c r="C31">
        <v>2994</v>
      </c>
    </row>
    <row r="32" spans="1:3" x14ac:dyDescent="0.2">
      <c r="A32">
        <v>962</v>
      </c>
      <c r="B32">
        <v>1503</v>
      </c>
      <c r="C32">
        <v>2656.1360005371798</v>
      </c>
    </row>
    <row r="33" spans="1:3" x14ac:dyDescent="0.2">
      <c r="A33">
        <v>947</v>
      </c>
      <c r="B33">
        <v>1480</v>
      </c>
      <c r="C33">
        <v>3156.1360005371798</v>
      </c>
    </row>
    <row r="34" spans="1:3" x14ac:dyDescent="0.2">
      <c r="A34">
        <v>896</v>
      </c>
      <c r="B34">
        <v>1400</v>
      </c>
      <c r="C34">
        <v>3656.1360005371798</v>
      </c>
    </row>
    <row r="35" spans="1:3" x14ac:dyDescent="0.2">
      <c r="A35">
        <v>787</v>
      </c>
      <c r="B35">
        <v>1229</v>
      </c>
      <c r="C35">
        <v>3156.1360005371798</v>
      </c>
    </row>
    <row r="36" spans="1:3" x14ac:dyDescent="0.2">
      <c r="A36">
        <v>691</v>
      </c>
      <c r="B36">
        <v>1080</v>
      </c>
      <c r="C36">
        <v>3656.1360005371798</v>
      </c>
    </row>
    <row r="37" spans="1:3" x14ac:dyDescent="0.2">
      <c r="A37">
        <v>512</v>
      </c>
      <c r="B37">
        <v>800</v>
      </c>
      <c r="C37">
        <v>3156.1360005371798</v>
      </c>
    </row>
    <row r="38" spans="1:3" x14ac:dyDescent="0.2">
      <c r="A38">
        <v>462</v>
      </c>
      <c r="B38">
        <v>722</v>
      </c>
      <c r="C38">
        <v>2656.1360005371798</v>
      </c>
    </row>
    <row r="39" spans="1:3" x14ac:dyDescent="0.2">
      <c r="A39">
        <v>481</v>
      </c>
      <c r="B39">
        <v>752</v>
      </c>
      <c r="C39">
        <v>3156.1360005371798</v>
      </c>
    </row>
    <row r="40" spans="1:3" x14ac:dyDescent="0.2">
      <c r="A40">
        <v>614</v>
      </c>
      <c r="B40">
        <v>960</v>
      </c>
      <c r="C40">
        <v>2656.1360005371798</v>
      </c>
    </row>
    <row r="41" spans="1:3" x14ac:dyDescent="0.2">
      <c r="A41">
        <v>582</v>
      </c>
      <c r="B41">
        <v>910</v>
      </c>
      <c r="C41">
        <v>3156.1360005371798</v>
      </c>
    </row>
    <row r="42" spans="1:3" x14ac:dyDescent="0.2">
      <c r="A42">
        <v>464</v>
      </c>
      <c r="B42">
        <v>725</v>
      </c>
      <c r="C42">
        <v>2656.1360005371798</v>
      </c>
    </row>
    <row r="43" spans="1:3" x14ac:dyDescent="0.2">
      <c r="A43">
        <v>369</v>
      </c>
      <c r="B43">
        <v>576</v>
      </c>
      <c r="C43">
        <v>3156.1360005371798</v>
      </c>
    </row>
    <row r="44" spans="1:3" x14ac:dyDescent="0.2">
      <c r="A44">
        <v>333</v>
      </c>
      <c r="B44">
        <v>520</v>
      </c>
      <c r="C44">
        <v>3656.1360005371798</v>
      </c>
    </row>
    <row r="45" spans="1:3" x14ac:dyDescent="0.2">
      <c r="A45">
        <v>371</v>
      </c>
      <c r="B45">
        <v>580</v>
      </c>
      <c r="C45">
        <v>4156.1360005371798</v>
      </c>
    </row>
    <row r="46" spans="1:3" x14ac:dyDescent="0.2">
      <c r="A46">
        <v>384</v>
      </c>
      <c r="B46">
        <v>600</v>
      </c>
      <c r="C46">
        <v>4197.9124093251603</v>
      </c>
    </row>
    <row r="47" spans="1:3" x14ac:dyDescent="0.2">
      <c r="A47">
        <v>300</v>
      </c>
      <c r="B47">
        <v>469</v>
      </c>
      <c r="C47">
        <v>4697.9124093251603</v>
      </c>
    </row>
    <row r="48" spans="1:3" x14ac:dyDescent="0.2">
      <c r="A48">
        <v>307</v>
      </c>
      <c r="B48">
        <v>480</v>
      </c>
      <c r="C48">
        <v>4769.0269406953003</v>
      </c>
    </row>
    <row r="49" spans="1:3" x14ac:dyDescent="0.2">
      <c r="A49">
        <v>275</v>
      </c>
      <c r="B49">
        <v>430</v>
      </c>
      <c r="C49">
        <v>4269.0269406953003</v>
      </c>
    </row>
    <row r="50" spans="1:3" x14ac:dyDescent="0.2">
      <c r="A50">
        <v>243</v>
      </c>
      <c r="B50">
        <v>380</v>
      </c>
      <c r="C50">
        <v>3769.0269406952998</v>
      </c>
    </row>
    <row r="51" spans="1:3" x14ac:dyDescent="0.2">
      <c r="A51">
        <v>211</v>
      </c>
      <c r="B51">
        <v>330</v>
      </c>
      <c r="C51">
        <v>4269.0269406953003</v>
      </c>
    </row>
    <row r="52" spans="1:3" x14ac:dyDescent="0.2">
      <c r="A52">
        <v>186</v>
      </c>
      <c r="B52">
        <v>290</v>
      </c>
      <c r="C52">
        <v>3769.0269406952998</v>
      </c>
    </row>
    <row r="53" spans="1:3" x14ac:dyDescent="0.2">
      <c r="A53">
        <v>166</v>
      </c>
      <c r="B53">
        <v>260</v>
      </c>
      <c r="C53">
        <v>4269.0269406953003</v>
      </c>
    </row>
    <row r="54" spans="1:3" x14ac:dyDescent="0.2">
      <c r="A54">
        <v>168</v>
      </c>
      <c r="B54">
        <v>262</v>
      </c>
      <c r="C54">
        <v>1162.6280481758599</v>
      </c>
    </row>
    <row r="55" spans="1:3" x14ac:dyDescent="0.2">
      <c r="A55">
        <v>169</v>
      </c>
      <c r="B55">
        <v>264</v>
      </c>
      <c r="C55">
        <v>385</v>
      </c>
    </row>
    <row r="56" spans="1:3" x14ac:dyDescent="0.2">
      <c r="A56">
        <v>171</v>
      </c>
      <c r="B56">
        <v>267</v>
      </c>
      <c r="C56">
        <v>390</v>
      </c>
    </row>
    <row r="57" spans="1:3" x14ac:dyDescent="0.2">
      <c r="A57">
        <v>172</v>
      </c>
      <c r="B57">
        <v>269</v>
      </c>
      <c r="C57">
        <v>393</v>
      </c>
    </row>
    <row r="58" spans="1:3" x14ac:dyDescent="0.2">
      <c r="A58">
        <v>173</v>
      </c>
      <c r="B58">
        <v>271</v>
      </c>
      <c r="C58">
        <v>396</v>
      </c>
    </row>
    <row r="59" spans="1:3" x14ac:dyDescent="0.2">
      <c r="A59">
        <v>175</v>
      </c>
      <c r="B59">
        <v>273</v>
      </c>
      <c r="C59">
        <v>399</v>
      </c>
    </row>
    <row r="60" spans="1:3" x14ac:dyDescent="0.2">
      <c r="A60">
        <v>177</v>
      </c>
      <c r="B60">
        <v>276</v>
      </c>
      <c r="C60">
        <v>403</v>
      </c>
    </row>
    <row r="61" spans="1:3" x14ac:dyDescent="0.2">
      <c r="A61">
        <v>178</v>
      </c>
      <c r="B61">
        <v>278</v>
      </c>
      <c r="C61">
        <v>406</v>
      </c>
    </row>
    <row r="62" spans="1:3" x14ac:dyDescent="0.2">
      <c r="A62">
        <v>179</v>
      </c>
      <c r="B62">
        <v>280</v>
      </c>
      <c r="C62">
        <v>409</v>
      </c>
    </row>
    <row r="63" spans="1:3" x14ac:dyDescent="0.2">
      <c r="A63">
        <v>180</v>
      </c>
      <c r="B63">
        <v>282</v>
      </c>
      <c r="C63">
        <v>412</v>
      </c>
    </row>
    <row r="64" spans="1:3" x14ac:dyDescent="0.2">
      <c r="A64">
        <v>181</v>
      </c>
      <c r="B64">
        <v>283</v>
      </c>
      <c r="C64">
        <v>413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B8A7-1651-45BF-B3AA-A68CC15335B2}">
  <dimension ref="A1:C64"/>
  <sheetViews>
    <sheetView topLeftCell="A10" workbookViewId="0">
      <selection activeCell="G10" sqref="G10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20</v>
      </c>
    </row>
    <row r="2" spans="1:3" x14ac:dyDescent="0.2">
      <c r="A2">
        <v>170.99999999999801</v>
      </c>
      <c r="B2">
        <v>282.00000000000102</v>
      </c>
      <c r="C2">
        <v>187.61445214784101</v>
      </c>
    </row>
    <row r="3" spans="1:3" x14ac:dyDescent="0.2">
      <c r="A3">
        <v>130</v>
      </c>
      <c r="B3">
        <v>206</v>
      </c>
      <c r="C3">
        <v>249.844631151416</v>
      </c>
    </row>
    <row r="4" spans="1:3" x14ac:dyDescent="0.2">
      <c r="A4">
        <v>154</v>
      </c>
      <c r="B4">
        <v>243</v>
      </c>
      <c r="C4">
        <v>520.54091670074195</v>
      </c>
    </row>
    <row r="5" spans="1:3" x14ac:dyDescent="0.2">
      <c r="A5">
        <v>176</v>
      </c>
      <c r="B5">
        <v>279</v>
      </c>
      <c r="C5">
        <v>363</v>
      </c>
    </row>
    <row r="6" spans="1:3" x14ac:dyDescent="0.2">
      <c r="A6">
        <v>199</v>
      </c>
      <c r="B6">
        <v>315</v>
      </c>
      <c r="C6">
        <v>410</v>
      </c>
    </row>
    <row r="7" spans="1:3" x14ac:dyDescent="0.2">
      <c r="A7">
        <v>223</v>
      </c>
      <c r="B7">
        <v>352</v>
      </c>
      <c r="C7">
        <v>458</v>
      </c>
    </row>
    <row r="8" spans="1:3" x14ac:dyDescent="0.2">
      <c r="A8">
        <v>226</v>
      </c>
      <c r="B8">
        <v>358</v>
      </c>
      <c r="C8">
        <v>465</v>
      </c>
    </row>
    <row r="9" spans="1:3" x14ac:dyDescent="0.2">
      <c r="A9">
        <v>229</v>
      </c>
      <c r="B9">
        <v>363</v>
      </c>
      <c r="C9">
        <v>472</v>
      </c>
    </row>
    <row r="10" spans="1:3" x14ac:dyDescent="0.2">
      <c r="A10">
        <v>232</v>
      </c>
      <c r="B10">
        <v>367</v>
      </c>
      <c r="C10">
        <v>477</v>
      </c>
    </row>
    <row r="11" spans="1:3" x14ac:dyDescent="0.2">
      <c r="A11">
        <v>235</v>
      </c>
      <c r="B11">
        <v>372</v>
      </c>
      <c r="C11">
        <v>484</v>
      </c>
    </row>
    <row r="12" spans="1:3" x14ac:dyDescent="0.2">
      <c r="A12">
        <v>302</v>
      </c>
      <c r="B12">
        <v>479</v>
      </c>
      <c r="C12">
        <v>623</v>
      </c>
    </row>
    <row r="13" spans="1:3" x14ac:dyDescent="0.2">
      <c r="A13">
        <v>706</v>
      </c>
      <c r="B13">
        <v>1117</v>
      </c>
      <c r="C13">
        <v>1453</v>
      </c>
    </row>
    <row r="14" spans="1:3" x14ac:dyDescent="0.2">
      <c r="A14">
        <v>622</v>
      </c>
      <c r="B14">
        <v>984</v>
      </c>
      <c r="C14">
        <v>1280</v>
      </c>
    </row>
    <row r="15" spans="1:3" x14ac:dyDescent="0.2">
      <c r="A15">
        <v>236.85686874021201</v>
      </c>
      <c r="B15">
        <v>958</v>
      </c>
      <c r="C15">
        <v>1246</v>
      </c>
    </row>
    <row r="16" spans="1:3" x14ac:dyDescent="0.2">
      <c r="A16">
        <v>736.85686874021201</v>
      </c>
      <c r="B16">
        <v>958</v>
      </c>
      <c r="C16">
        <v>1246</v>
      </c>
    </row>
    <row r="17" spans="1:3" x14ac:dyDescent="0.2">
      <c r="A17">
        <v>874.28626251957496</v>
      </c>
      <c r="B17">
        <v>1011</v>
      </c>
      <c r="C17">
        <v>1315</v>
      </c>
    </row>
    <row r="18" spans="1:3" x14ac:dyDescent="0.2">
      <c r="A18">
        <v>722</v>
      </c>
      <c r="B18">
        <v>1144</v>
      </c>
      <c r="C18">
        <v>1488</v>
      </c>
    </row>
    <row r="19" spans="1:3" x14ac:dyDescent="0.2">
      <c r="A19">
        <v>1730</v>
      </c>
      <c r="B19">
        <v>2740</v>
      </c>
      <c r="C19">
        <v>3385.6933166450399</v>
      </c>
    </row>
    <row r="20" spans="1:3" x14ac:dyDescent="0.2">
      <c r="A20">
        <v>2281.7467689934801</v>
      </c>
      <c r="B20">
        <v>3520</v>
      </c>
      <c r="C20">
        <v>2885.6933166450399</v>
      </c>
    </row>
    <row r="21" spans="1:3" x14ac:dyDescent="0.2">
      <c r="A21">
        <v>1781.7467689934799</v>
      </c>
      <c r="B21">
        <v>3020</v>
      </c>
      <c r="C21">
        <v>2385.6933166450399</v>
      </c>
    </row>
    <row r="22" spans="1:3" x14ac:dyDescent="0.2">
      <c r="A22">
        <v>1281.7467689934799</v>
      </c>
      <c r="B22">
        <v>2520</v>
      </c>
      <c r="C22">
        <v>1885.6933166450401</v>
      </c>
    </row>
    <row r="23" spans="1:3" x14ac:dyDescent="0.2">
      <c r="A23">
        <v>781.74676899348401</v>
      </c>
      <c r="B23">
        <v>3020</v>
      </c>
      <c r="C23">
        <v>2385.6933166450399</v>
      </c>
    </row>
    <row r="24" spans="1:3" x14ac:dyDescent="0.2">
      <c r="A24">
        <v>1281.7467689934799</v>
      </c>
      <c r="B24">
        <v>2520</v>
      </c>
      <c r="C24">
        <v>2885.6933166450399</v>
      </c>
    </row>
    <row r="25" spans="1:3" x14ac:dyDescent="0.2">
      <c r="A25">
        <v>915.75209838096498</v>
      </c>
      <c r="B25">
        <v>3020</v>
      </c>
      <c r="C25">
        <v>3385.6933166450399</v>
      </c>
    </row>
    <row r="26" spans="1:3" x14ac:dyDescent="0.2">
      <c r="A26">
        <v>1415.75209838097</v>
      </c>
      <c r="B26">
        <v>3520</v>
      </c>
      <c r="C26">
        <v>3885.6933166450399</v>
      </c>
    </row>
    <row r="27" spans="1:3" x14ac:dyDescent="0.2">
      <c r="A27">
        <v>1915.75209838097</v>
      </c>
      <c r="B27">
        <v>3020</v>
      </c>
      <c r="C27">
        <v>4053.4349483211299</v>
      </c>
    </row>
    <row r="28" spans="1:3" x14ac:dyDescent="0.2">
      <c r="A28">
        <v>2415.75209838097</v>
      </c>
      <c r="B28">
        <v>3520</v>
      </c>
      <c r="C28">
        <v>6574</v>
      </c>
    </row>
    <row r="29" spans="1:3" x14ac:dyDescent="0.2">
      <c r="A29">
        <v>2720.21416977643</v>
      </c>
      <c r="B29">
        <v>4020</v>
      </c>
      <c r="C29">
        <v>4671</v>
      </c>
    </row>
    <row r="30" spans="1:3" x14ac:dyDescent="0.2">
      <c r="A30">
        <v>2220.21416977643</v>
      </c>
      <c r="B30">
        <v>4520</v>
      </c>
      <c r="C30">
        <v>3702</v>
      </c>
    </row>
    <row r="31" spans="1:3" x14ac:dyDescent="0.2">
      <c r="A31">
        <v>1720.21416977643</v>
      </c>
      <c r="B31">
        <v>4020</v>
      </c>
      <c r="C31">
        <v>2941</v>
      </c>
    </row>
    <row r="32" spans="1:3" x14ac:dyDescent="0.2">
      <c r="A32">
        <v>2220.21416977643</v>
      </c>
      <c r="B32">
        <v>4520</v>
      </c>
      <c r="C32">
        <v>2885.6933166450399</v>
      </c>
    </row>
    <row r="33" spans="1:3" x14ac:dyDescent="0.2">
      <c r="A33">
        <v>2720.21416977643</v>
      </c>
      <c r="B33">
        <v>4020</v>
      </c>
      <c r="C33">
        <v>3385.6933166450399</v>
      </c>
    </row>
    <row r="34" spans="1:3" x14ac:dyDescent="0.2">
      <c r="A34">
        <v>2220.21416977643</v>
      </c>
      <c r="B34">
        <v>4520</v>
      </c>
      <c r="C34">
        <v>2885.6933166450399</v>
      </c>
    </row>
    <row r="35" spans="1:3" x14ac:dyDescent="0.2">
      <c r="A35">
        <v>2488.4532202252999</v>
      </c>
      <c r="B35">
        <v>4020</v>
      </c>
      <c r="C35">
        <v>2385.6933166450399</v>
      </c>
    </row>
    <row r="36" spans="1:3" x14ac:dyDescent="0.2">
      <c r="A36">
        <v>2988.4532202252999</v>
      </c>
      <c r="B36">
        <v>4520</v>
      </c>
      <c r="C36">
        <v>1885.6933166450401</v>
      </c>
    </row>
    <row r="37" spans="1:3" x14ac:dyDescent="0.2">
      <c r="A37">
        <v>3488.4532202252999</v>
      </c>
      <c r="B37">
        <v>5020</v>
      </c>
      <c r="C37">
        <v>2385.6933166450399</v>
      </c>
    </row>
    <row r="38" spans="1:3" x14ac:dyDescent="0.2">
      <c r="A38">
        <v>2988.4532202252999</v>
      </c>
      <c r="B38">
        <v>4520</v>
      </c>
      <c r="C38">
        <v>2885.6933166450399</v>
      </c>
    </row>
    <row r="39" spans="1:3" x14ac:dyDescent="0.2">
      <c r="A39">
        <v>3488.4532202252999</v>
      </c>
      <c r="B39">
        <v>4020</v>
      </c>
      <c r="C39">
        <v>2385.6933166450399</v>
      </c>
    </row>
    <row r="40" spans="1:3" x14ac:dyDescent="0.2">
      <c r="A40">
        <v>3660.4287181228001</v>
      </c>
      <c r="B40">
        <v>3520</v>
      </c>
      <c r="C40">
        <v>2885.6933166450399</v>
      </c>
    </row>
    <row r="41" spans="1:3" x14ac:dyDescent="0.2">
      <c r="A41">
        <v>3160.4287181228001</v>
      </c>
      <c r="B41">
        <v>920.00000000000205</v>
      </c>
      <c r="C41">
        <v>2385.6933166450399</v>
      </c>
    </row>
    <row r="42" spans="1:3" x14ac:dyDescent="0.2">
      <c r="A42">
        <v>672.84920547801596</v>
      </c>
      <c r="B42">
        <v>638</v>
      </c>
      <c r="C42">
        <v>2885.6933166450399</v>
      </c>
    </row>
    <row r="43" spans="1:3" x14ac:dyDescent="0.2">
      <c r="A43">
        <v>386</v>
      </c>
      <c r="B43">
        <v>612</v>
      </c>
      <c r="C43">
        <v>3385.6933166450399</v>
      </c>
    </row>
    <row r="44" spans="1:3" x14ac:dyDescent="0.2">
      <c r="A44">
        <v>361</v>
      </c>
      <c r="B44">
        <v>572</v>
      </c>
      <c r="C44">
        <v>2885.6933166450399</v>
      </c>
    </row>
    <row r="45" spans="1:3" x14ac:dyDescent="0.2">
      <c r="A45">
        <v>344</v>
      </c>
      <c r="B45">
        <v>545</v>
      </c>
      <c r="C45">
        <v>3289.9333031200899</v>
      </c>
    </row>
    <row r="46" spans="1:3" x14ac:dyDescent="0.2">
      <c r="A46">
        <v>328</v>
      </c>
      <c r="B46">
        <v>519</v>
      </c>
      <c r="C46">
        <v>2789.9333031200899</v>
      </c>
    </row>
    <row r="47" spans="1:3" x14ac:dyDescent="0.2">
      <c r="A47">
        <v>319</v>
      </c>
      <c r="B47">
        <v>505</v>
      </c>
      <c r="C47">
        <v>3289.9333031200899</v>
      </c>
    </row>
    <row r="48" spans="1:3" x14ac:dyDescent="0.2">
      <c r="A48">
        <v>302</v>
      </c>
      <c r="B48">
        <v>479</v>
      </c>
      <c r="C48">
        <v>3789.9333031200899</v>
      </c>
    </row>
    <row r="49" spans="1:3" x14ac:dyDescent="0.2">
      <c r="A49">
        <v>286</v>
      </c>
      <c r="B49">
        <v>452</v>
      </c>
      <c r="C49">
        <v>4289.9333031200904</v>
      </c>
    </row>
    <row r="50" spans="1:3" x14ac:dyDescent="0.2">
      <c r="A50">
        <v>277</v>
      </c>
      <c r="B50">
        <v>439</v>
      </c>
      <c r="C50">
        <v>3789.9333031200899</v>
      </c>
    </row>
    <row r="51" spans="1:3" x14ac:dyDescent="0.2">
      <c r="A51">
        <v>269</v>
      </c>
      <c r="B51">
        <v>426</v>
      </c>
      <c r="C51">
        <v>3289.9333031200899</v>
      </c>
    </row>
    <row r="52" spans="1:3" x14ac:dyDescent="0.2">
      <c r="A52">
        <v>260</v>
      </c>
      <c r="B52">
        <v>412</v>
      </c>
      <c r="C52">
        <v>2789.9333031200899</v>
      </c>
    </row>
    <row r="53" spans="1:3" x14ac:dyDescent="0.2">
      <c r="A53">
        <v>252</v>
      </c>
      <c r="B53">
        <v>399</v>
      </c>
      <c r="C53">
        <v>2289.9333031200899</v>
      </c>
    </row>
    <row r="54" spans="1:3" x14ac:dyDescent="0.2">
      <c r="A54">
        <v>244</v>
      </c>
      <c r="B54">
        <v>386</v>
      </c>
      <c r="C54">
        <v>1789.9333031200899</v>
      </c>
    </row>
    <row r="55" spans="1:3" x14ac:dyDescent="0.2">
      <c r="A55">
        <v>244</v>
      </c>
      <c r="B55">
        <v>386</v>
      </c>
      <c r="C55">
        <v>1289.9333031200899</v>
      </c>
    </row>
    <row r="56" spans="1:3" x14ac:dyDescent="0.2">
      <c r="A56">
        <v>244</v>
      </c>
      <c r="B56">
        <v>386</v>
      </c>
      <c r="C56">
        <v>1789.9333031200899</v>
      </c>
    </row>
    <row r="57" spans="1:3" x14ac:dyDescent="0.2">
      <c r="A57">
        <v>227</v>
      </c>
      <c r="B57">
        <v>359</v>
      </c>
      <c r="C57">
        <v>2170.8057646919301</v>
      </c>
    </row>
    <row r="58" spans="1:3" x14ac:dyDescent="0.2">
      <c r="A58">
        <v>223</v>
      </c>
      <c r="B58">
        <v>354</v>
      </c>
      <c r="C58">
        <v>460</v>
      </c>
    </row>
    <row r="59" spans="1:3" x14ac:dyDescent="0.2">
      <c r="A59">
        <v>218</v>
      </c>
      <c r="B59">
        <v>346</v>
      </c>
      <c r="C59">
        <v>450</v>
      </c>
    </row>
    <row r="60" spans="1:3" x14ac:dyDescent="0.2">
      <c r="A60">
        <v>216</v>
      </c>
      <c r="B60">
        <v>342</v>
      </c>
      <c r="C60">
        <v>445</v>
      </c>
    </row>
    <row r="61" spans="1:3" x14ac:dyDescent="0.2">
      <c r="A61">
        <v>214</v>
      </c>
      <c r="B61">
        <v>339</v>
      </c>
      <c r="C61">
        <v>441</v>
      </c>
    </row>
    <row r="62" spans="1:3" x14ac:dyDescent="0.2">
      <c r="A62">
        <v>212</v>
      </c>
      <c r="B62">
        <v>335</v>
      </c>
      <c r="C62">
        <v>436</v>
      </c>
    </row>
    <row r="63" spans="1:3" x14ac:dyDescent="0.2">
      <c r="A63">
        <v>209</v>
      </c>
      <c r="B63">
        <v>331</v>
      </c>
      <c r="C63">
        <v>431</v>
      </c>
    </row>
    <row r="64" spans="1:3" x14ac:dyDescent="0.2">
      <c r="A64">
        <v>206</v>
      </c>
      <c r="B64">
        <v>327</v>
      </c>
      <c r="C64">
        <v>425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6E83-B755-41A6-BD2F-D9E78BA1F3DA}">
  <dimension ref="A1:F795"/>
  <sheetViews>
    <sheetView workbookViewId="0">
      <selection activeCell="J25" sqref="J25"/>
    </sheetView>
  </sheetViews>
  <sheetFormatPr defaultRowHeight="14.25" x14ac:dyDescent="0.2"/>
  <cols>
    <col min="1" max="1" width="17.125" customWidth="1"/>
    <col min="3" max="3" width="16.625" customWidth="1"/>
    <col min="4" max="4" width="15.875" customWidth="1"/>
    <col min="5" max="5" width="19.75" customWidth="1"/>
    <col min="6" max="6" width="26.125" customWidth="1"/>
  </cols>
  <sheetData>
    <row r="1" spans="1: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">
      <c r="A2" s="3">
        <v>44197</v>
      </c>
      <c r="B2">
        <v>7.5765506389999997</v>
      </c>
      <c r="C2">
        <v>0.1125</v>
      </c>
      <c r="D2">
        <v>8.9333333330000002</v>
      </c>
      <c r="E2">
        <v>81.541666669999998</v>
      </c>
      <c r="F2">
        <v>7.9583333329999997</v>
      </c>
    </row>
    <row r="3" spans="1:6" x14ac:dyDescent="0.2">
      <c r="A3" s="3">
        <v>44198</v>
      </c>
      <c r="B3">
        <v>5.2941666669999998</v>
      </c>
      <c r="C3">
        <v>0.75416666700000001</v>
      </c>
      <c r="D3">
        <v>10.33333333</v>
      </c>
      <c r="E3">
        <v>76.083333330000002</v>
      </c>
      <c r="F3">
        <v>19.666666670000001</v>
      </c>
    </row>
    <row r="4" spans="1:6" x14ac:dyDescent="0.2">
      <c r="A4" s="3">
        <v>44199</v>
      </c>
      <c r="B4">
        <v>5.8633333329999999</v>
      </c>
      <c r="C4">
        <v>2.5000000000000001E-2</v>
      </c>
      <c r="D4">
        <v>9.9458333329999995</v>
      </c>
      <c r="E4">
        <v>73.75</v>
      </c>
      <c r="F4">
        <v>10.20833333</v>
      </c>
    </row>
    <row r="5" spans="1:6" x14ac:dyDescent="0.2">
      <c r="A5" s="3">
        <v>44200</v>
      </c>
      <c r="B5">
        <v>6.7018750000000002</v>
      </c>
      <c r="C5">
        <v>1.6666667E-2</v>
      </c>
      <c r="D5">
        <v>8.1083333329999991</v>
      </c>
      <c r="E5">
        <v>73.958333330000002</v>
      </c>
      <c r="F5">
        <v>9.375</v>
      </c>
    </row>
    <row r="6" spans="1:6" x14ac:dyDescent="0.2">
      <c r="A6" s="3">
        <v>44201</v>
      </c>
      <c r="B6">
        <v>6.897092947</v>
      </c>
      <c r="C6">
        <v>7.0833332999999998E-2</v>
      </c>
      <c r="D6">
        <v>7.8958333329999997</v>
      </c>
      <c r="E6">
        <v>72.291666669999998</v>
      </c>
      <c r="F6">
        <v>10.20833333</v>
      </c>
    </row>
    <row r="7" spans="1:6" x14ac:dyDescent="0.2">
      <c r="A7" s="3">
        <v>44202</v>
      </c>
      <c r="B7">
        <v>5.7977083330000001</v>
      </c>
      <c r="C7">
        <v>0.120833333</v>
      </c>
      <c r="D7">
        <v>7.1583333329999999</v>
      </c>
      <c r="E7">
        <v>79.083333330000002</v>
      </c>
      <c r="F7">
        <v>13.58333333</v>
      </c>
    </row>
    <row r="8" spans="1:6" x14ac:dyDescent="0.2">
      <c r="A8" s="3">
        <v>44203</v>
      </c>
      <c r="B8">
        <v>6.3423958330000003</v>
      </c>
      <c r="C8">
        <v>5.8333333000000001E-2</v>
      </c>
      <c r="D8">
        <v>6.7583333330000004</v>
      </c>
      <c r="E8">
        <v>81.083333330000002</v>
      </c>
      <c r="F8">
        <v>8.125</v>
      </c>
    </row>
    <row r="9" spans="1:6" x14ac:dyDescent="0.2">
      <c r="A9" s="3">
        <v>44204</v>
      </c>
      <c r="B9">
        <v>6.5161458330000004</v>
      </c>
      <c r="C9">
        <v>0</v>
      </c>
      <c r="D9">
        <v>6.35</v>
      </c>
      <c r="E9">
        <v>66.791666669999998</v>
      </c>
      <c r="F9">
        <v>30.833333329999999</v>
      </c>
    </row>
    <row r="10" spans="1:6" x14ac:dyDescent="0.2">
      <c r="A10" s="3">
        <v>44205</v>
      </c>
      <c r="B10">
        <v>5.7745833329999998</v>
      </c>
      <c r="C10">
        <v>0</v>
      </c>
      <c r="D10">
        <v>5.3250000000000002</v>
      </c>
      <c r="E10">
        <v>65.458333330000002</v>
      </c>
      <c r="F10">
        <v>44.5</v>
      </c>
    </row>
    <row r="11" spans="1:6" x14ac:dyDescent="0.2">
      <c r="A11" s="3">
        <v>44206</v>
      </c>
      <c r="B11">
        <v>5.8841666669999997</v>
      </c>
      <c r="C11">
        <v>4.1666669999999998E-3</v>
      </c>
      <c r="D11">
        <v>4.9166666670000003</v>
      </c>
      <c r="E11">
        <v>64.208333330000002</v>
      </c>
      <c r="F11">
        <v>52.5</v>
      </c>
    </row>
    <row r="12" spans="1:6" x14ac:dyDescent="0.2">
      <c r="A12" s="3">
        <v>44207</v>
      </c>
      <c r="B12">
        <v>6.6195833329999996</v>
      </c>
      <c r="C12">
        <v>0</v>
      </c>
      <c r="D12">
        <v>4.0374999999999996</v>
      </c>
      <c r="E12">
        <v>55.458333330000002</v>
      </c>
      <c r="F12">
        <v>40.916666669999998</v>
      </c>
    </row>
    <row r="13" spans="1:6" x14ac:dyDescent="0.2">
      <c r="A13" s="3">
        <v>44208</v>
      </c>
      <c r="B13">
        <v>7.6084979400000003</v>
      </c>
      <c r="C13">
        <v>0</v>
      </c>
      <c r="D13">
        <v>4.3</v>
      </c>
      <c r="E13">
        <v>54.666666669999998</v>
      </c>
      <c r="F13">
        <v>12.125</v>
      </c>
    </row>
    <row r="14" spans="1:6" x14ac:dyDescent="0.2">
      <c r="A14" s="3">
        <v>44209</v>
      </c>
      <c r="B14">
        <v>7.1762656250000001</v>
      </c>
      <c r="C14">
        <v>0</v>
      </c>
      <c r="D14">
        <v>5.6333333330000004</v>
      </c>
      <c r="E14">
        <v>55.166666669999998</v>
      </c>
      <c r="F14">
        <v>7.2916666670000003</v>
      </c>
    </row>
    <row r="15" spans="1:6" x14ac:dyDescent="0.2">
      <c r="A15" s="3">
        <v>44210</v>
      </c>
      <c r="B15">
        <v>6.493229167</v>
      </c>
      <c r="C15">
        <v>0</v>
      </c>
      <c r="D15">
        <v>7.9375</v>
      </c>
      <c r="E15">
        <v>54.583333330000002</v>
      </c>
      <c r="F15">
        <v>16.166666670000001</v>
      </c>
    </row>
    <row r="16" spans="1:6" x14ac:dyDescent="0.2">
      <c r="A16" s="3">
        <v>44211</v>
      </c>
      <c r="B16">
        <v>7.0201041670000004</v>
      </c>
      <c r="C16">
        <v>0</v>
      </c>
      <c r="D16">
        <v>5.2874999999999996</v>
      </c>
      <c r="E16">
        <v>42.125</v>
      </c>
      <c r="F16">
        <v>18.833333329999999</v>
      </c>
    </row>
    <row r="17" spans="1:6" x14ac:dyDescent="0.2">
      <c r="A17" s="3">
        <v>44212</v>
      </c>
      <c r="B17">
        <v>6.9931421299999998</v>
      </c>
      <c r="C17">
        <v>0</v>
      </c>
      <c r="D17">
        <v>4.3041666669999996</v>
      </c>
      <c r="E17">
        <v>49.708333330000002</v>
      </c>
      <c r="F17">
        <v>12.79166667</v>
      </c>
    </row>
    <row r="18" spans="1:6" x14ac:dyDescent="0.2">
      <c r="A18" s="3">
        <v>44213</v>
      </c>
      <c r="B18">
        <v>8.6024342340000004</v>
      </c>
      <c r="C18">
        <v>0</v>
      </c>
      <c r="D18">
        <v>4.8</v>
      </c>
      <c r="E18">
        <v>56.166666669999998</v>
      </c>
      <c r="F18">
        <v>13.91666667</v>
      </c>
    </row>
    <row r="19" spans="1:6" x14ac:dyDescent="0.2">
      <c r="A19" s="3">
        <v>44214</v>
      </c>
      <c r="B19">
        <v>7.757962719</v>
      </c>
      <c r="C19">
        <v>0</v>
      </c>
      <c r="D19">
        <v>4.1458333329999997</v>
      </c>
      <c r="E19">
        <v>60.25</v>
      </c>
      <c r="F19">
        <v>11.25</v>
      </c>
    </row>
    <row r="20" spans="1:6" x14ac:dyDescent="0.2">
      <c r="A20" s="3">
        <v>44215</v>
      </c>
      <c r="B20">
        <v>6.7021875</v>
      </c>
      <c r="C20">
        <v>0</v>
      </c>
      <c r="D20">
        <v>5.3958333329999997</v>
      </c>
      <c r="E20">
        <v>73.291666669999998</v>
      </c>
      <c r="F20">
        <v>7.5416666670000003</v>
      </c>
    </row>
    <row r="21" spans="1:6" x14ac:dyDescent="0.2">
      <c r="A21" s="3">
        <v>44216</v>
      </c>
      <c r="B21">
        <v>7.7877896069999997</v>
      </c>
      <c r="C21">
        <v>0</v>
      </c>
      <c r="D21">
        <v>7.25</v>
      </c>
      <c r="E21">
        <v>83.625</v>
      </c>
      <c r="F21">
        <v>3.875</v>
      </c>
    </row>
    <row r="22" spans="1:6" x14ac:dyDescent="0.2">
      <c r="A22" s="3">
        <v>44217</v>
      </c>
      <c r="B22">
        <v>7.7702466899999996</v>
      </c>
      <c r="C22">
        <v>4.5833332999999997E-2</v>
      </c>
      <c r="D22">
        <v>8.8833333329999995</v>
      </c>
      <c r="E22">
        <v>90.208333330000002</v>
      </c>
      <c r="F22">
        <v>3.6666666669999999</v>
      </c>
    </row>
    <row r="23" spans="1:6" x14ac:dyDescent="0.2">
      <c r="A23" s="3">
        <v>44218</v>
      </c>
      <c r="B23">
        <v>6.6640219470000002</v>
      </c>
      <c r="C23">
        <v>0.1875</v>
      </c>
      <c r="D23">
        <v>12.37083333</v>
      </c>
      <c r="E23">
        <v>80.208333330000002</v>
      </c>
      <c r="F23">
        <v>14.45833333</v>
      </c>
    </row>
    <row r="24" spans="1:6" x14ac:dyDescent="0.2">
      <c r="A24" s="3">
        <v>44219</v>
      </c>
      <c r="B24">
        <v>5.8089583329999996</v>
      </c>
      <c r="C24">
        <v>0.445833333</v>
      </c>
      <c r="D24">
        <v>10.47916667</v>
      </c>
      <c r="E24">
        <v>80.166666669999998</v>
      </c>
      <c r="F24">
        <v>16.916666670000001</v>
      </c>
    </row>
    <row r="25" spans="1:6" x14ac:dyDescent="0.2">
      <c r="A25" s="3">
        <v>44220</v>
      </c>
      <c r="B25">
        <v>5.6084375</v>
      </c>
      <c r="C25">
        <v>0.120833333</v>
      </c>
      <c r="D25">
        <v>7.7916666670000003</v>
      </c>
      <c r="E25">
        <v>77.5</v>
      </c>
      <c r="F25">
        <v>9.4166666669999994</v>
      </c>
    </row>
    <row r="26" spans="1:6" x14ac:dyDescent="0.2">
      <c r="A26" s="3">
        <v>44221</v>
      </c>
      <c r="B26">
        <v>6.9788541669999997</v>
      </c>
      <c r="C26">
        <v>0</v>
      </c>
      <c r="D26">
        <v>6.545833333</v>
      </c>
      <c r="E26">
        <v>59.833333330000002</v>
      </c>
      <c r="F26">
        <v>11.95833333</v>
      </c>
    </row>
    <row r="27" spans="1:6" x14ac:dyDescent="0.2">
      <c r="A27" s="3">
        <v>44222</v>
      </c>
      <c r="B27">
        <v>7.1645833330000004</v>
      </c>
      <c r="C27">
        <v>0</v>
      </c>
      <c r="D27">
        <v>5.9416666669999998</v>
      </c>
      <c r="E27">
        <v>56.875</v>
      </c>
      <c r="F27">
        <v>8.2083333330000006</v>
      </c>
    </row>
    <row r="28" spans="1:6" x14ac:dyDescent="0.2">
      <c r="A28" s="3">
        <v>44223</v>
      </c>
      <c r="B28">
        <v>7.0760416670000001</v>
      </c>
      <c r="C28">
        <v>0</v>
      </c>
      <c r="D28">
        <v>5.35</v>
      </c>
      <c r="E28">
        <v>62.583333330000002</v>
      </c>
      <c r="F28">
        <v>5.875</v>
      </c>
    </row>
    <row r="29" spans="1:6" x14ac:dyDescent="0.2">
      <c r="A29" s="3">
        <v>44224</v>
      </c>
      <c r="B29">
        <v>6.9503124999999999</v>
      </c>
      <c r="C29">
        <v>1.2500000000000001E-2</v>
      </c>
      <c r="D29">
        <v>5.7458333330000002</v>
      </c>
      <c r="E29">
        <v>66.666666669999998</v>
      </c>
      <c r="F29">
        <v>8.625</v>
      </c>
    </row>
    <row r="30" spans="1:6" x14ac:dyDescent="0.2">
      <c r="A30" s="3">
        <v>44225</v>
      </c>
      <c r="B30">
        <v>6.7740625000000003</v>
      </c>
      <c r="C30">
        <v>0</v>
      </c>
      <c r="D30">
        <v>6.65</v>
      </c>
      <c r="E30">
        <v>84.208333330000002</v>
      </c>
      <c r="F30">
        <v>6.1666666670000003</v>
      </c>
    </row>
    <row r="31" spans="1:6" x14ac:dyDescent="0.2">
      <c r="A31" s="3">
        <v>44226</v>
      </c>
      <c r="B31">
        <v>6.2069791670000001</v>
      </c>
      <c r="C31">
        <v>8.3333330000000001E-3</v>
      </c>
      <c r="D31">
        <v>7.4916666669999996</v>
      </c>
      <c r="E31">
        <v>87.041666669999998</v>
      </c>
      <c r="F31">
        <v>6.875</v>
      </c>
    </row>
    <row r="32" spans="1:6" x14ac:dyDescent="0.2">
      <c r="A32" s="3">
        <v>44227</v>
      </c>
      <c r="B32">
        <v>5.5327083330000004</v>
      </c>
      <c r="C32">
        <v>0.33750000000000002</v>
      </c>
      <c r="D32">
        <v>7.8041666669999996</v>
      </c>
      <c r="E32">
        <v>70.25</v>
      </c>
      <c r="F32">
        <v>29.458333329999999</v>
      </c>
    </row>
    <row r="33" spans="1:6" x14ac:dyDescent="0.2">
      <c r="A33" s="3">
        <v>44228</v>
      </c>
      <c r="B33">
        <v>7.2549999999999999</v>
      </c>
      <c r="C33">
        <v>0</v>
      </c>
      <c r="D33">
        <v>7.2374999999999998</v>
      </c>
      <c r="E33">
        <v>65.875</v>
      </c>
      <c r="F33">
        <v>12.16666667</v>
      </c>
    </row>
    <row r="34" spans="1:6" x14ac:dyDescent="0.2">
      <c r="A34" s="3">
        <v>44229</v>
      </c>
      <c r="B34">
        <v>6.8290625</v>
      </c>
      <c r="C34">
        <v>0</v>
      </c>
      <c r="D34">
        <v>9.1041666669999994</v>
      </c>
      <c r="E34">
        <v>79.541666669999998</v>
      </c>
      <c r="F34">
        <v>4.1666666670000003</v>
      </c>
    </row>
    <row r="35" spans="1:6" x14ac:dyDescent="0.2">
      <c r="A35" s="3">
        <v>44230</v>
      </c>
      <c r="B35">
        <v>6.803645833</v>
      </c>
      <c r="C35">
        <v>0.133333333</v>
      </c>
      <c r="D35">
        <v>8.7041666670000009</v>
      </c>
      <c r="E35">
        <v>90.583333330000002</v>
      </c>
      <c r="F35">
        <v>4.9166666670000003</v>
      </c>
    </row>
    <row r="36" spans="1:6" x14ac:dyDescent="0.2">
      <c r="A36" s="3">
        <v>44231</v>
      </c>
      <c r="B36">
        <v>6.8103125000000002</v>
      </c>
      <c r="C36">
        <v>2.5000000000000001E-2</v>
      </c>
      <c r="D36">
        <v>9.2333333329999991</v>
      </c>
      <c r="E36">
        <v>93.958333330000002</v>
      </c>
      <c r="F36">
        <v>6.25</v>
      </c>
    </row>
    <row r="37" spans="1:6" x14ac:dyDescent="0.2">
      <c r="A37" s="3">
        <v>44232</v>
      </c>
      <c r="B37">
        <v>6.4480208330000002</v>
      </c>
      <c r="C37">
        <v>6.25E-2</v>
      </c>
      <c r="D37">
        <v>9.625</v>
      </c>
      <c r="E37">
        <v>98.25</v>
      </c>
      <c r="F37">
        <v>4.3333333329999997</v>
      </c>
    </row>
    <row r="38" spans="1:6" x14ac:dyDescent="0.2">
      <c r="A38" s="3">
        <v>44233</v>
      </c>
      <c r="B38">
        <v>5.7130208329999999</v>
      </c>
      <c r="C38">
        <v>3.7499999999999999E-2</v>
      </c>
      <c r="D38">
        <v>9.7708333330000006</v>
      </c>
      <c r="E38">
        <v>99.333333330000002</v>
      </c>
      <c r="F38">
        <v>4.4166666670000003</v>
      </c>
    </row>
    <row r="39" spans="1:6" x14ac:dyDescent="0.2">
      <c r="A39" s="3">
        <v>44234</v>
      </c>
      <c r="B39">
        <v>5.6168750000000003</v>
      </c>
      <c r="C39">
        <v>0.320833333</v>
      </c>
      <c r="D39">
        <v>13.329166669999999</v>
      </c>
      <c r="E39">
        <v>84.625</v>
      </c>
      <c r="F39">
        <v>13.5</v>
      </c>
    </row>
    <row r="40" spans="1:6" x14ac:dyDescent="0.2">
      <c r="A40" s="3">
        <v>44235</v>
      </c>
      <c r="B40">
        <v>7.1862500000000002</v>
      </c>
      <c r="C40">
        <v>0.125</v>
      </c>
      <c r="D40">
        <v>10.65</v>
      </c>
      <c r="E40">
        <v>76.583333330000002</v>
      </c>
      <c r="F40">
        <v>10.33333333</v>
      </c>
    </row>
    <row r="41" spans="1:6" x14ac:dyDescent="0.2">
      <c r="A41" s="3">
        <v>44236</v>
      </c>
      <c r="B41">
        <v>6.723645833</v>
      </c>
      <c r="C41">
        <v>1.05</v>
      </c>
      <c r="D41">
        <v>10.33333333</v>
      </c>
      <c r="E41">
        <v>90.583333330000002</v>
      </c>
      <c r="F41">
        <v>7.2916666670000003</v>
      </c>
    </row>
    <row r="42" spans="1:6" x14ac:dyDescent="0.2">
      <c r="A42" s="3">
        <v>44237</v>
      </c>
      <c r="B42">
        <v>6.6310416669999999</v>
      </c>
      <c r="C42">
        <v>0.45</v>
      </c>
      <c r="D42">
        <v>11.725</v>
      </c>
      <c r="E42">
        <v>82.541666669999998</v>
      </c>
      <c r="F42">
        <v>14.125</v>
      </c>
    </row>
    <row r="43" spans="1:6" x14ac:dyDescent="0.2">
      <c r="A43" s="3">
        <v>44238</v>
      </c>
      <c r="B43">
        <v>6.8972159089999998</v>
      </c>
      <c r="C43">
        <v>3.7499999999999999E-2</v>
      </c>
      <c r="D43">
        <v>6.6041666670000003</v>
      </c>
      <c r="E43">
        <v>65.208333330000002</v>
      </c>
      <c r="F43">
        <v>35.166666669999998</v>
      </c>
    </row>
    <row r="44" spans="1:6" x14ac:dyDescent="0.2">
      <c r="A44" s="3">
        <v>44239</v>
      </c>
      <c r="B44">
        <v>6.7747718250000002</v>
      </c>
      <c r="C44">
        <v>0</v>
      </c>
      <c r="D44">
        <v>0.71666666700000003</v>
      </c>
      <c r="E44">
        <v>53.75</v>
      </c>
      <c r="F44">
        <v>56.708333330000002</v>
      </c>
    </row>
    <row r="45" spans="1:6" x14ac:dyDescent="0.2">
      <c r="A45" s="3">
        <v>44240</v>
      </c>
      <c r="B45">
        <v>6.594791667</v>
      </c>
      <c r="C45">
        <v>0</v>
      </c>
      <c r="D45">
        <v>0.48333333299999998</v>
      </c>
      <c r="E45">
        <v>49.333333330000002</v>
      </c>
      <c r="F45">
        <v>53.291666669999998</v>
      </c>
    </row>
    <row r="46" spans="1:6" x14ac:dyDescent="0.2">
      <c r="A46" s="3">
        <v>44241</v>
      </c>
      <c r="B46">
        <v>6.9278124999999999</v>
      </c>
      <c r="C46">
        <v>0</v>
      </c>
      <c r="D46">
        <v>3.2416666670000001</v>
      </c>
      <c r="E46">
        <v>44.583333330000002</v>
      </c>
      <c r="F46">
        <v>17.125</v>
      </c>
    </row>
    <row r="47" spans="1:6" x14ac:dyDescent="0.2">
      <c r="A47" s="3">
        <v>44242</v>
      </c>
      <c r="B47">
        <v>7.3403124999999996</v>
      </c>
      <c r="C47">
        <v>0</v>
      </c>
      <c r="D47">
        <v>3.4708333329999999</v>
      </c>
      <c r="E47">
        <v>40.5</v>
      </c>
      <c r="F47">
        <v>9.0833333330000006</v>
      </c>
    </row>
    <row r="48" spans="1:6" x14ac:dyDescent="0.2">
      <c r="A48" s="3">
        <v>44243</v>
      </c>
      <c r="B48">
        <v>7.1061284130000004</v>
      </c>
      <c r="C48">
        <v>0</v>
      </c>
      <c r="D48">
        <v>5.5041666669999998</v>
      </c>
      <c r="E48">
        <v>58.166666669999998</v>
      </c>
      <c r="F48">
        <v>9.4583333330000006</v>
      </c>
    </row>
    <row r="49" spans="1:6" x14ac:dyDescent="0.2">
      <c r="A49" s="3">
        <v>44244</v>
      </c>
      <c r="B49">
        <v>6.4372670899999997</v>
      </c>
      <c r="C49">
        <v>0</v>
      </c>
      <c r="D49">
        <v>6.7208333329999999</v>
      </c>
      <c r="E49">
        <v>79</v>
      </c>
      <c r="F49">
        <v>4.8333333329999997</v>
      </c>
    </row>
    <row r="50" spans="1:6" x14ac:dyDescent="0.2">
      <c r="A50" s="3">
        <v>44245</v>
      </c>
      <c r="B50">
        <v>6.4780208330000004</v>
      </c>
      <c r="C50">
        <v>0</v>
      </c>
      <c r="D50">
        <v>8.7708333330000006</v>
      </c>
      <c r="E50">
        <v>80.708333330000002</v>
      </c>
      <c r="F50">
        <v>5.375</v>
      </c>
    </row>
    <row r="51" spans="1:6" x14ac:dyDescent="0.2">
      <c r="A51" s="3">
        <v>44246</v>
      </c>
      <c r="B51">
        <v>6.4197916670000001</v>
      </c>
      <c r="C51">
        <v>4.1666669999999998E-3</v>
      </c>
      <c r="D51">
        <v>8.4124999999999996</v>
      </c>
      <c r="E51">
        <v>90.041666669999998</v>
      </c>
      <c r="F51">
        <v>3</v>
      </c>
    </row>
    <row r="52" spans="1:6" x14ac:dyDescent="0.2">
      <c r="A52" s="3">
        <v>44247</v>
      </c>
      <c r="B52">
        <v>5.9168750000000001</v>
      </c>
      <c r="C52">
        <v>0</v>
      </c>
      <c r="D52">
        <v>9.3958333330000006</v>
      </c>
      <c r="E52">
        <v>90.666666669999998</v>
      </c>
      <c r="F52">
        <v>3.4583333330000001</v>
      </c>
    </row>
    <row r="53" spans="1:6" x14ac:dyDescent="0.2">
      <c r="A53" s="3">
        <v>44248</v>
      </c>
      <c r="B53">
        <v>5.522395833</v>
      </c>
      <c r="C53">
        <v>0</v>
      </c>
      <c r="D53">
        <v>10.03333333</v>
      </c>
      <c r="E53">
        <v>85.958333330000002</v>
      </c>
      <c r="F53">
        <v>4</v>
      </c>
    </row>
    <row r="54" spans="1:6" x14ac:dyDescent="0.2">
      <c r="A54" s="3">
        <v>44249</v>
      </c>
      <c r="B54">
        <v>6.4933138210000001</v>
      </c>
      <c r="C54">
        <v>0</v>
      </c>
      <c r="D54">
        <v>9.8125</v>
      </c>
      <c r="E54">
        <v>91.166666669999998</v>
      </c>
      <c r="F54">
        <v>4.4166666670000003</v>
      </c>
    </row>
    <row r="55" spans="1:6" x14ac:dyDescent="0.2">
      <c r="A55" s="3">
        <v>44250</v>
      </c>
      <c r="B55">
        <v>6.7024172399999999</v>
      </c>
      <c r="C55">
        <v>0</v>
      </c>
      <c r="D55">
        <v>8.4083333329999999</v>
      </c>
      <c r="E55">
        <v>98.166666669999998</v>
      </c>
      <c r="F55">
        <v>6.0833333329999997</v>
      </c>
    </row>
    <row r="56" spans="1:6" x14ac:dyDescent="0.2">
      <c r="A56" s="3">
        <v>44251</v>
      </c>
      <c r="B56">
        <v>6.3794791670000004</v>
      </c>
      <c r="C56">
        <v>8.3333330000000001E-3</v>
      </c>
      <c r="D56">
        <v>8.1541666670000001</v>
      </c>
      <c r="E56">
        <v>91.75</v>
      </c>
      <c r="F56">
        <v>4.5</v>
      </c>
    </row>
    <row r="57" spans="1:6" x14ac:dyDescent="0.2">
      <c r="A57" s="3">
        <v>44252</v>
      </c>
      <c r="B57">
        <v>6.1062500000000002</v>
      </c>
      <c r="C57">
        <v>0</v>
      </c>
      <c r="D57">
        <v>11.10416667</v>
      </c>
      <c r="E57">
        <v>79.61627747</v>
      </c>
      <c r="F57">
        <v>3.3333333330000001</v>
      </c>
    </row>
    <row r="58" spans="1:6" x14ac:dyDescent="0.2">
      <c r="A58" s="3">
        <v>44253</v>
      </c>
      <c r="B58">
        <v>6.2222916670000004</v>
      </c>
      <c r="C58">
        <v>0</v>
      </c>
      <c r="D58">
        <v>10.19166667</v>
      </c>
      <c r="E58">
        <v>80.083333330000002</v>
      </c>
      <c r="F58">
        <v>2.25</v>
      </c>
    </row>
    <row r="59" spans="1:6" x14ac:dyDescent="0.2">
      <c r="A59" s="3">
        <v>44254</v>
      </c>
      <c r="B59">
        <v>5.3176041669999998</v>
      </c>
      <c r="C59">
        <v>4.1666669999999998E-3</v>
      </c>
      <c r="D59">
        <v>12.68333333</v>
      </c>
      <c r="E59">
        <v>55.5</v>
      </c>
      <c r="F59">
        <v>36.416666669999998</v>
      </c>
    </row>
    <row r="60" spans="1:6" x14ac:dyDescent="0.2">
      <c r="A60" s="3">
        <v>44255</v>
      </c>
      <c r="B60">
        <v>5.1187500000000004</v>
      </c>
      <c r="C60">
        <v>0</v>
      </c>
      <c r="D60">
        <v>10.34583333</v>
      </c>
      <c r="E60">
        <v>45.25</v>
      </c>
      <c r="F60">
        <v>29.458333329999999</v>
      </c>
    </row>
    <row r="61" spans="1:6" x14ac:dyDescent="0.2">
      <c r="A61" s="3">
        <v>44256</v>
      </c>
      <c r="B61">
        <v>6.3454166670000003</v>
      </c>
      <c r="C61">
        <v>0</v>
      </c>
      <c r="D61">
        <v>13.0375</v>
      </c>
      <c r="E61">
        <v>35.708333330000002</v>
      </c>
      <c r="F61">
        <v>14.41666667</v>
      </c>
    </row>
    <row r="62" spans="1:6" x14ac:dyDescent="0.2">
      <c r="A62" s="3">
        <v>44257</v>
      </c>
      <c r="B62">
        <v>6.5286458329999997</v>
      </c>
      <c r="C62">
        <v>0</v>
      </c>
      <c r="D62">
        <v>11.045833330000001</v>
      </c>
      <c r="E62">
        <v>50.541666669999998</v>
      </c>
      <c r="F62">
        <v>13.875</v>
      </c>
    </row>
    <row r="63" spans="1:6" x14ac:dyDescent="0.2">
      <c r="A63" s="3">
        <v>44258</v>
      </c>
      <c r="B63">
        <v>6.217708333</v>
      </c>
      <c r="C63">
        <v>0</v>
      </c>
      <c r="D63">
        <v>8.85</v>
      </c>
      <c r="E63">
        <v>66.208333330000002</v>
      </c>
      <c r="F63">
        <v>3.4583333330000001</v>
      </c>
    </row>
    <row r="64" spans="1:6" x14ac:dyDescent="0.2">
      <c r="A64" s="3">
        <v>44259</v>
      </c>
      <c r="B64">
        <v>6.9043035479999997</v>
      </c>
      <c r="C64">
        <v>0</v>
      </c>
      <c r="D64">
        <v>9.3416666670000001</v>
      </c>
      <c r="E64">
        <v>70.541666669999998</v>
      </c>
      <c r="F64">
        <v>5.75</v>
      </c>
    </row>
    <row r="65" spans="1:6" x14ac:dyDescent="0.2">
      <c r="A65" s="3">
        <v>44260</v>
      </c>
      <c r="B65">
        <v>7.9795055059999997</v>
      </c>
      <c r="C65">
        <v>0.05</v>
      </c>
      <c r="D65">
        <v>10.6875</v>
      </c>
      <c r="E65">
        <v>77.666666669999998</v>
      </c>
      <c r="F65">
        <v>11.33333333</v>
      </c>
    </row>
    <row r="66" spans="1:6" x14ac:dyDescent="0.2">
      <c r="A66" s="3">
        <v>44261</v>
      </c>
      <c r="B66">
        <v>8.5652854250000008</v>
      </c>
      <c r="C66">
        <v>0.13750000000000001</v>
      </c>
      <c r="D66">
        <v>6.4291666669999996</v>
      </c>
      <c r="E66">
        <v>47.625</v>
      </c>
      <c r="F66">
        <v>39.01523066</v>
      </c>
    </row>
    <row r="67" spans="1:6" x14ac:dyDescent="0.2">
      <c r="A67" s="3">
        <v>44262</v>
      </c>
      <c r="B67">
        <v>8.5651809310000004</v>
      </c>
      <c r="C67">
        <v>0</v>
      </c>
      <c r="D67">
        <v>6.2583333330000004</v>
      </c>
      <c r="E67">
        <v>44.375</v>
      </c>
      <c r="F67">
        <v>10.41666667</v>
      </c>
    </row>
    <row r="68" spans="1:6" x14ac:dyDescent="0.2">
      <c r="A68" s="3">
        <v>44263</v>
      </c>
      <c r="B68">
        <v>7.2551388890000004</v>
      </c>
      <c r="C68">
        <v>0</v>
      </c>
      <c r="D68">
        <v>7.0750000000000002</v>
      </c>
      <c r="E68">
        <v>64.416666669999998</v>
      </c>
      <c r="F68">
        <v>6.9166666670000003</v>
      </c>
    </row>
    <row r="69" spans="1:6" x14ac:dyDescent="0.2">
      <c r="A69" s="3">
        <v>44264</v>
      </c>
      <c r="B69">
        <v>6.7463541669999998</v>
      </c>
      <c r="C69">
        <v>0</v>
      </c>
      <c r="D69">
        <v>9.0958333329999999</v>
      </c>
      <c r="E69">
        <v>48.083333330000002</v>
      </c>
      <c r="F69">
        <v>33.458333330000002</v>
      </c>
    </row>
    <row r="70" spans="1:6" x14ac:dyDescent="0.2">
      <c r="A70" s="3">
        <v>44265</v>
      </c>
      <c r="B70">
        <v>6.4874999999999998</v>
      </c>
      <c r="C70">
        <v>0</v>
      </c>
      <c r="D70">
        <v>8.7916666669999994</v>
      </c>
      <c r="E70">
        <v>51.458333330000002</v>
      </c>
      <c r="F70">
        <v>24.5</v>
      </c>
    </row>
    <row r="71" spans="1:6" x14ac:dyDescent="0.2">
      <c r="A71" s="3">
        <v>44266</v>
      </c>
      <c r="B71">
        <v>7.1042708330000002</v>
      </c>
      <c r="C71">
        <v>0</v>
      </c>
      <c r="D71">
        <v>9.6583333329999999</v>
      </c>
      <c r="E71">
        <v>59.958333330000002</v>
      </c>
      <c r="F71">
        <v>9.0416666669999994</v>
      </c>
    </row>
    <row r="72" spans="1:6" x14ac:dyDescent="0.2">
      <c r="A72" s="3">
        <v>44267</v>
      </c>
      <c r="B72">
        <v>7.5216137339999998</v>
      </c>
      <c r="C72">
        <v>0.1125</v>
      </c>
      <c r="D72">
        <v>11.22916667</v>
      </c>
      <c r="E72">
        <v>81.625</v>
      </c>
      <c r="F72">
        <v>6.4583333329999997</v>
      </c>
    </row>
    <row r="73" spans="1:6" x14ac:dyDescent="0.2">
      <c r="A73" s="3">
        <v>44268</v>
      </c>
      <c r="B73">
        <v>9.2434195950000007</v>
      </c>
      <c r="C73">
        <v>0</v>
      </c>
      <c r="D73">
        <v>10.824999999999999</v>
      </c>
      <c r="E73">
        <v>78.291666669999998</v>
      </c>
      <c r="F73">
        <v>10.41666667</v>
      </c>
    </row>
    <row r="74" spans="1:6" x14ac:dyDescent="0.2">
      <c r="A74" s="3">
        <v>44269</v>
      </c>
      <c r="B74">
        <v>8.4564852429999995</v>
      </c>
      <c r="C74">
        <v>0.79166666699999999</v>
      </c>
      <c r="D74">
        <v>9.8291666670000009</v>
      </c>
      <c r="E74">
        <v>68.75</v>
      </c>
      <c r="F74">
        <v>16.416666670000001</v>
      </c>
    </row>
    <row r="75" spans="1:6" x14ac:dyDescent="0.2">
      <c r="A75" s="3">
        <v>44270</v>
      </c>
      <c r="B75">
        <v>8.2797158050000004</v>
      </c>
      <c r="C75">
        <v>0</v>
      </c>
      <c r="D75">
        <v>7.375</v>
      </c>
      <c r="E75">
        <v>67.541666669999998</v>
      </c>
      <c r="F75">
        <v>6.9583333329999997</v>
      </c>
    </row>
    <row r="76" spans="1:6" x14ac:dyDescent="0.2">
      <c r="A76" s="3">
        <v>44271</v>
      </c>
      <c r="B76">
        <v>7.8459734680000004</v>
      </c>
      <c r="C76">
        <v>0</v>
      </c>
      <c r="D76">
        <v>9.1208333330000002</v>
      </c>
      <c r="E76">
        <v>58.747916670000002</v>
      </c>
      <c r="F76">
        <v>5.25</v>
      </c>
    </row>
    <row r="77" spans="1:6" x14ac:dyDescent="0.2">
      <c r="A77" s="3">
        <v>44272</v>
      </c>
      <c r="B77">
        <v>6.5951041669999997</v>
      </c>
      <c r="C77">
        <v>3.7499999999999999E-2</v>
      </c>
      <c r="D77">
        <v>9.0958333329999999</v>
      </c>
      <c r="E77">
        <v>47.458333330000002</v>
      </c>
      <c r="F77">
        <v>10.58333333</v>
      </c>
    </row>
    <row r="78" spans="1:6" x14ac:dyDescent="0.2">
      <c r="A78" s="3">
        <v>44273</v>
      </c>
      <c r="B78">
        <v>6.8767708330000001</v>
      </c>
      <c r="C78">
        <v>0</v>
      </c>
      <c r="D78">
        <v>7.2874999999999996</v>
      </c>
      <c r="E78">
        <v>49.708333330000002</v>
      </c>
      <c r="F78">
        <v>13.95833333</v>
      </c>
    </row>
    <row r="79" spans="1:6" x14ac:dyDescent="0.2">
      <c r="A79" s="3">
        <v>44274</v>
      </c>
      <c r="B79">
        <v>6.655208333</v>
      </c>
      <c r="C79">
        <v>0</v>
      </c>
      <c r="D79">
        <v>7.0625</v>
      </c>
      <c r="E79">
        <v>47.25</v>
      </c>
      <c r="F79">
        <v>12.20833333</v>
      </c>
    </row>
    <row r="80" spans="1:6" x14ac:dyDescent="0.2">
      <c r="A80" s="3">
        <v>44275</v>
      </c>
      <c r="B80">
        <v>5.8696875000000004</v>
      </c>
      <c r="C80">
        <v>0</v>
      </c>
      <c r="D80">
        <v>6.483333333</v>
      </c>
      <c r="E80">
        <v>49.666666669999998</v>
      </c>
      <c r="F80">
        <v>34.916666669999998</v>
      </c>
    </row>
    <row r="81" spans="1:6" x14ac:dyDescent="0.2">
      <c r="A81" s="3">
        <v>44276</v>
      </c>
      <c r="B81">
        <v>6.9573225499999998</v>
      </c>
      <c r="C81">
        <v>8.3333330000000001E-3</v>
      </c>
      <c r="D81">
        <v>6.0041666669999998</v>
      </c>
      <c r="E81">
        <v>45.875</v>
      </c>
      <c r="F81">
        <v>43.708333330000002</v>
      </c>
    </row>
    <row r="82" spans="1:6" x14ac:dyDescent="0.2">
      <c r="A82" s="3">
        <v>44277</v>
      </c>
      <c r="B82">
        <v>7.3780760470000004</v>
      </c>
      <c r="C82">
        <v>0</v>
      </c>
      <c r="D82">
        <v>8.2375000000000007</v>
      </c>
      <c r="E82">
        <v>49.625</v>
      </c>
      <c r="F82">
        <v>17.25</v>
      </c>
    </row>
    <row r="83" spans="1:6" x14ac:dyDescent="0.2">
      <c r="A83" s="3">
        <v>44278</v>
      </c>
      <c r="B83">
        <v>7.5506167040000003</v>
      </c>
      <c r="C83">
        <v>0</v>
      </c>
      <c r="D83">
        <v>8.4208333329999991</v>
      </c>
      <c r="E83">
        <v>59.416666669999998</v>
      </c>
      <c r="F83">
        <v>20.25</v>
      </c>
    </row>
    <row r="84" spans="1:6" x14ac:dyDescent="0.2">
      <c r="A84" s="3">
        <v>44279</v>
      </c>
      <c r="B84">
        <v>7.6376304490000004</v>
      </c>
      <c r="C84">
        <v>0</v>
      </c>
      <c r="D84">
        <v>9.5</v>
      </c>
      <c r="E84">
        <v>57.708333330000002</v>
      </c>
      <c r="F84">
        <v>6.2916666670000003</v>
      </c>
    </row>
    <row r="85" spans="1:6" x14ac:dyDescent="0.2">
      <c r="A85" s="3">
        <v>44280</v>
      </c>
      <c r="B85">
        <v>7.8296269629999999</v>
      </c>
      <c r="C85">
        <v>0</v>
      </c>
      <c r="D85">
        <v>9.7166666670000001</v>
      </c>
      <c r="E85">
        <v>64.333333330000002</v>
      </c>
      <c r="F85">
        <v>5</v>
      </c>
    </row>
    <row r="86" spans="1:6" x14ac:dyDescent="0.2">
      <c r="A86" s="3">
        <v>44281</v>
      </c>
      <c r="B86">
        <v>8.0331250000000001</v>
      </c>
      <c r="C86">
        <v>0</v>
      </c>
      <c r="D86">
        <v>10.295833330000001</v>
      </c>
      <c r="E86">
        <v>73.333333330000002</v>
      </c>
      <c r="F86">
        <v>4.9166666670000003</v>
      </c>
    </row>
    <row r="87" spans="1:6" x14ac:dyDescent="0.2">
      <c r="A87" s="3">
        <v>44282</v>
      </c>
      <c r="B87">
        <v>7.0858333330000001</v>
      </c>
      <c r="C87">
        <v>0</v>
      </c>
      <c r="D87">
        <v>12.04166667</v>
      </c>
      <c r="E87">
        <v>76.166666669999998</v>
      </c>
      <c r="F87">
        <v>6.875</v>
      </c>
    </row>
    <row r="88" spans="1:6" x14ac:dyDescent="0.2">
      <c r="A88" s="3">
        <v>44283</v>
      </c>
      <c r="B88">
        <v>7.0698913040000004</v>
      </c>
      <c r="C88">
        <v>6.0869565E-2</v>
      </c>
      <c r="D88">
        <v>13.560869569999999</v>
      </c>
      <c r="E88">
        <v>74</v>
      </c>
      <c r="F88">
        <v>7.7826086959999996</v>
      </c>
    </row>
    <row r="89" spans="1:6" x14ac:dyDescent="0.2">
      <c r="A89" s="3">
        <v>44284</v>
      </c>
      <c r="B89">
        <v>7.4653124999999996</v>
      </c>
      <c r="C89">
        <v>0</v>
      </c>
      <c r="D89">
        <v>12.579166669999999</v>
      </c>
      <c r="E89">
        <v>81.833333330000002</v>
      </c>
      <c r="F89">
        <v>3.625</v>
      </c>
    </row>
    <row r="90" spans="1:6" x14ac:dyDescent="0.2">
      <c r="A90" s="3">
        <v>44285</v>
      </c>
      <c r="B90">
        <v>7.2249999999999996</v>
      </c>
      <c r="C90">
        <v>0</v>
      </c>
      <c r="D90">
        <v>13.362500000000001</v>
      </c>
      <c r="E90">
        <v>78.958333330000002</v>
      </c>
      <c r="F90">
        <v>3.7916666669999999</v>
      </c>
    </row>
    <row r="91" spans="1:6" x14ac:dyDescent="0.2">
      <c r="A91" s="3">
        <v>44286</v>
      </c>
      <c r="B91">
        <v>7.0590624999999996</v>
      </c>
      <c r="C91">
        <v>0</v>
      </c>
      <c r="D91">
        <v>15.45</v>
      </c>
      <c r="E91">
        <v>62.625</v>
      </c>
      <c r="F91">
        <v>3.2916666669999999</v>
      </c>
    </row>
    <row r="92" spans="1:6" x14ac:dyDescent="0.2">
      <c r="A92" s="3">
        <v>44287</v>
      </c>
      <c r="B92">
        <v>6.9460416670000003</v>
      </c>
      <c r="C92">
        <v>0</v>
      </c>
      <c r="D92">
        <v>15.6875</v>
      </c>
      <c r="E92">
        <v>63.064635789999997</v>
      </c>
      <c r="F92">
        <v>3.2916666669999999</v>
      </c>
    </row>
    <row r="93" spans="1:6" x14ac:dyDescent="0.2">
      <c r="A93" s="3">
        <v>44288</v>
      </c>
      <c r="B93">
        <v>7.8372420580000002</v>
      </c>
      <c r="C93">
        <v>0</v>
      </c>
      <c r="D93">
        <v>15.05833333</v>
      </c>
      <c r="E93">
        <v>72.25</v>
      </c>
      <c r="F93">
        <v>5.25</v>
      </c>
    </row>
    <row r="94" spans="1:6" x14ac:dyDescent="0.2">
      <c r="A94" s="3">
        <v>44289</v>
      </c>
      <c r="B94">
        <v>9.4341666669999995</v>
      </c>
      <c r="C94">
        <v>0.16666666699999999</v>
      </c>
      <c r="D94">
        <v>14.108333330000001</v>
      </c>
      <c r="E94">
        <v>53.416666669999998</v>
      </c>
      <c r="F94">
        <v>37.458333330000002</v>
      </c>
    </row>
    <row r="95" spans="1:6" x14ac:dyDescent="0.2">
      <c r="A95" s="3">
        <v>44290</v>
      </c>
      <c r="B95">
        <v>9.0487500000000001</v>
      </c>
      <c r="C95">
        <v>0</v>
      </c>
      <c r="D95">
        <v>11.28333333</v>
      </c>
      <c r="E95">
        <v>42.625</v>
      </c>
      <c r="F95">
        <v>25.875</v>
      </c>
    </row>
    <row r="96" spans="1:6" x14ac:dyDescent="0.2">
      <c r="A96" s="3">
        <v>44291</v>
      </c>
      <c r="B96">
        <v>9.8677951410000002</v>
      </c>
      <c r="C96">
        <v>0</v>
      </c>
      <c r="D96">
        <v>9.9499999999999993</v>
      </c>
      <c r="E96">
        <v>57.666666669999998</v>
      </c>
      <c r="F96">
        <v>8.8333333330000006</v>
      </c>
    </row>
    <row r="97" spans="1:6" x14ac:dyDescent="0.2">
      <c r="A97" s="3">
        <v>44292</v>
      </c>
      <c r="B97">
        <v>10.10016313</v>
      </c>
      <c r="C97">
        <v>0.29166666699999999</v>
      </c>
      <c r="D97">
        <v>7.1</v>
      </c>
      <c r="E97">
        <v>66.666666669999998</v>
      </c>
      <c r="F97">
        <v>33.875</v>
      </c>
    </row>
    <row r="98" spans="1:6" x14ac:dyDescent="0.2">
      <c r="A98" s="3">
        <v>44293</v>
      </c>
      <c r="B98">
        <v>8.5555490810000006</v>
      </c>
      <c r="C98">
        <v>4.1666669999999998E-3</v>
      </c>
      <c r="D98">
        <v>5.2416666669999996</v>
      </c>
      <c r="E98">
        <v>54.166666669999998</v>
      </c>
      <c r="F98">
        <v>13.04166667</v>
      </c>
    </row>
    <row r="99" spans="1:6" x14ac:dyDescent="0.2">
      <c r="A99" s="3">
        <v>44294</v>
      </c>
      <c r="B99">
        <v>8.1880208329999995</v>
      </c>
      <c r="C99">
        <v>0</v>
      </c>
      <c r="D99">
        <v>8.1416666670000009</v>
      </c>
      <c r="E99">
        <v>49.041666669999998</v>
      </c>
      <c r="F99">
        <v>10.16666667</v>
      </c>
    </row>
    <row r="100" spans="1:6" x14ac:dyDescent="0.2">
      <c r="A100" s="3">
        <v>44295</v>
      </c>
      <c r="B100">
        <v>7.6857875949999999</v>
      </c>
      <c r="C100">
        <v>0</v>
      </c>
      <c r="D100">
        <v>10.616666670000001</v>
      </c>
      <c r="E100">
        <v>56.833333330000002</v>
      </c>
      <c r="F100">
        <v>13.54166667</v>
      </c>
    </row>
    <row r="101" spans="1:6" x14ac:dyDescent="0.2">
      <c r="A101" s="3">
        <v>44296</v>
      </c>
      <c r="B101">
        <v>8.8650331639999997</v>
      </c>
      <c r="C101">
        <v>0</v>
      </c>
      <c r="D101">
        <v>12.14583333</v>
      </c>
      <c r="E101">
        <v>66.491855119999997</v>
      </c>
      <c r="F101">
        <v>12.29166667</v>
      </c>
    </row>
    <row r="102" spans="1:6" x14ac:dyDescent="0.2">
      <c r="A102" s="3">
        <v>44297</v>
      </c>
      <c r="B102">
        <v>9.0065949300000003</v>
      </c>
      <c r="C102">
        <v>0.22500000000000001</v>
      </c>
      <c r="D102">
        <v>11.925000000000001</v>
      </c>
      <c r="E102">
        <v>81.25</v>
      </c>
      <c r="F102">
        <v>8.5416666669999994</v>
      </c>
    </row>
    <row r="103" spans="1:6" x14ac:dyDescent="0.2">
      <c r="A103" s="3">
        <v>44298</v>
      </c>
      <c r="B103">
        <v>7.9496197950000003</v>
      </c>
      <c r="C103">
        <v>0.44166666700000001</v>
      </c>
      <c r="D103">
        <v>13.108333330000001</v>
      </c>
      <c r="E103">
        <v>84.666666669999998</v>
      </c>
      <c r="F103">
        <v>12.83333333</v>
      </c>
    </row>
    <row r="104" spans="1:6" x14ac:dyDescent="0.2">
      <c r="A104" s="3">
        <v>44299</v>
      </c>
      <c r="B104">
        <v>7.6325248710000002</v>
      </c>
      <c r="C104">
        <v>1.170833333</v>
      </c>
      <c r="D104">
        <v>8.3333333330000006</v>
      </c>
      <c r="E104">
        <v>71.375</v>
      </c>
      <c r="F104">
        <v>36.916666669999998</v>
      </c>
    </row>
    <row r="105" spans="1:6" x14ac:dyDescent="0.2">
      <c r="A105" s="3">
        <v>44300</v>
      </c>
      <c r="B105">
        <v>7.8052083330000004</v>
      </c>
      <c r="C105">
        <v>0</v>
      </c>
      <c r="D105">
        <v>9.1999999999999993</v>
      </c>
      <c r="E105">
        <v>60.125</v>
      </c>
      <c r="F105">
        <v>11.08333333</v>
      </c>
    </row>
    <row r="106" spans="1:6" x14ac:dyDescent="0.2">
      <c r="A106" s="3">
        <v>44301</v>
      </c>
      <c r="B106">
        <v>7.3473350689999997</v>
      </c>
      <c r="C106">
        <v>0</v>
      </c>
      <c r="D106">
        <v>9.3958333330000006</v>
      </c>
      <c r="E106">
        <v>53.333333330000002</v>
      </c>
      <c r="F106">
        <v>13.33333333</v>
      </c>
    </row>
    <row r="107" spans="1:6" x14ac:dyDescent="0.2">
      <c r="A107" s="3">
        <v>44302</v>
      </c>
      <c r="B107">
        <v>8.1723757240000001</v>
      </c>
      <c r="C107">
        <v>0</v>
      </c>
      <c r="D107">
        <v>10.329166669999999</v>
      </c>
      <c r="E107">
        <v>50.995649919999998</v>
      </c>
      <c r="F107">
        <v>12.29166667</v>
      </c>
    </row>
    <row r="108" spans="1:6" x14ac:dyDescent="0.2">
      <c r="A108" s="3">
        <v>44303</v>
      </c>
      <c r="B108">
        <v>7.2206250000000001</v>
      </c>
      <c r="C108">
        <v>0</v>
      </c>
      <c r="D108">
        <v>11.204166669999999</v>
      </c>
      <c r="E108">
        <v>46.25</v>
      </c>
      <c r="F108">
        <v>22.791666670000001</v>
      </c>
    </row>
    <row r="109" spans="1:6" x14ac:dyDescent="0.2">
      <c r="A109" s="3">
        <v>44304</v>
      </c>
      <c r="B109">
        <v>6.7730501629999997</v>
      </c>
      <c r="C109">
        <v>0</v>
      </c>
      <c r="D109">
        <v>11.28333333</v>
      </c>
      <c r="E109">
        <v>53.333333330000002</v>
      </c>
      <c r="F109">
        <v>18.083333329999999</v>
      </c>
    </row>
    <row r="110" spans="1:6" x14ac:dyDescent="0.2">
      <c r="A110" s="3">
        <v>44305</v>
      </c>
      <c r="B110">
        <v>7.9057682290000004</v>
      </c>
      <c r="C110">
        <v>8.3333330000000001E-3</v>
      </c>
      <c r="D110">
        <v>11.09583333</v>
      </c>
      <c r="E110">
        <v>66.125</v>
      </c>
      <c r="F110">
        <v>11.66666667</v>
      </c>
    </row>
    <row r="111" spans="1:6" x14ac:dyDescent="0.2">
      <c r="A111" s="3">
        <v>44306</v>
      </c>
      <c r="B111">
        <v>8.2495833330000004</v>
      </c>
      <c r="C111">
        <v>0</v>
      </c>
      <c r="D111">
        <v>11.4125</v>
      </c>
      <c r="E111">
        <v>71.616666670000001</v>
      </c>
      <c r="F111">
        <v>5.75</v>
      </c>
    </row>
    <row r="112" spans="1:6" x14ac:dyDescent="0.2">
      <c r="A112" s="3">
        <v>44307</v>
      </c>
      <c r="B112">
        <v>7.4922916669999999</v>
      </c>
      <c r="C112">
        <v>0</v>
      </c>
      <c r="D112">
        <v>12.670833330000001</v>
      </c>
      <c r="E112">
        <v>69.132952369999998</v>
      </c>
      <c r="F112">
        <v>9.1666666669999994</v>
      </c>
    </row>
    <row r="113" spans="1:6" x14ac:dyDescent="0.2">
      <c r="A113" s="3">
        <v>44308</v>
      </c>
      <c r="B113">
        <v>7.3980208330000004</v>
      </c>
      <c r="C113">
        <v>0</v>
      </c>
      <c r="D113">
        <v>12.99583333</v>
      </c>
      <c r="E113">
        <v>75.731855809999999</v>
      </c>
      <c r="F113">
        <v>9</v>
      </c>
    </row>
    <row r="114" spans="1:6" x14ac:dyDescent="0.2">
      <c r="A114" s="3">
        <v>44309</v>
      </c>
      <c r="B114">
        <v>7.4045833329999997</v>
      </c>
      <c r="C114">
        <v>0</v>
      </c>
      <c r="D114">
        <v>14.258333329999999</v>
      </c>
      <c r="E114">
        <v>69.006110719999995</v>
      </c>
      <c r="F114">
        <v>10.04166667</v>
      </c>
    </row>
    <row r="115" spans="1:6" x14ac:dyDescent="0.2">
      <c r="A115" s="3">
        <v>44310</v>
      </c>
      <c r="B115">
        <v>8.4902467819999998</v>
      </c>
      <c r="C115">
        <v>0</v>
      </c>
      <c r="D115">
        <v>14.87083333</v>
      </c>
      <c r="E115">
        <v>56.625082929999998</v>
      </c>
      <c r="F115">
        <v>8.6666666669999994</v>
      </c>
    </row>
    <row r="116" spans="1:6" x14ac:dyDescent="0.2">
      <c r="A116" s="3">
        <v>44311</v>
      </c>
      <c r="B116">
        <v>8.42986872</v>
      </c>
      <c r="C116">
        <v>0</v>
      </c>
      <c r="D116">
        <v>15.1625</v>
      </c>
      <c r="E116">
        <v>68.723996540000002</v>
      </c>
      <c r="F116">
        <v>4.25</v>
      </c>
    </row>
    <row r="117" spans="1:6" x14ac:dyDescent="0.2">
      <c r="A117" s="3">
        <v>44312</v>
      </c>
      <c r="B117">
        <v>7.4972916669999998</v>
      </c>
      <c r="C117">
        <v>0</v>
      </c>
      <c r="D117">
        <v>14.81666667</v>
      </c>
      <c r="E117">
        <v>50.4375</v>
      </c>
      <c r="F117">
        <v>26.666666670000001</v>
      </c>
    </row>
    <row r="118" spans="1:6" x14ac:dyDescent="0.2">
      <c r="A118" s="3">
        <v>44313</v>
      </c>
      <c r="B118">
        <v>8.2150394200000001</v>
      </c>
      <c r="C118">
        <v>0</v>
      </c>
      <c r="D118">
        <v>12.37916667</v>
      </c>
      <c r="E118">
        <v>67.208333330000002</v>
      </c>
      <c r="F118">
        <v>25.666666670000001</v>
      </c>
    </row>
    <row r="119" spans="1:6" x14ac:dyDescent="0.2">
      <c r="A119" s="3">
        <v>44314</v>
      </c>
      <c r="B119">
        <v>7.361354167</v>
      </c>
      <c r="C119">
        <v>0</v>
      </c>
      <c r="D119">
        <v>13.4375</v>
      </c>
      <c r="E119">
        <v>70.118502579999998</v>
      </c>
      <c r="F119">
        <v>13.95833333</v>
      </c>
    </row>
    <row r="120" spans="1:6" x14ac:dyDescent="0.2">
      <c r="A120" s="3">
        <v>44315</v>
      </c>
      <c r="B120">
        <v>7.2874999999999996</v>
      </c>
      <c r="C120">
        <v>0.60833333300000003</v>
      </c>
      <c r="D120">
        <v>14.320833329999999</v>
      </c>
      <c r="E120">
        <v>90.166666669999998</v>
      </c>
      <c r="F120">
        <v>9.125</v>
      </c>
    </row>
    <row r="121" spans="1:6" x14ac:dyDescent="0.2">
      <c r="A121" s="3">
        <v>44316</v>
      </c>
      <c r="B121">
        <v>7.7655208330000001</v>
      </c>
      <c r="C121">
        <v>8.7499999999999994E-2</v>
      </c>
      <c r="D121">
        <v>16.600000000000001</v>
      </c>
      <c r="E121">
        <v>79.625</v>
      </c>
      <c r="F121">
        <v>11.41666667</v>
      </c>
    </row>
    <row r="122" spans="1:6" x14ac:dyDescent="0.2">
      <c r="A122" s="3">
        <v>44317</v>
      </c>
      <c r="B122">
        <v>6.5676041669999998</v>
      </c>
      <c r="C122">
        <v>0.55416666699999995</v>
      </c>
      <c r="D122">
        <v>17.037500000000001</v>
      </c>
      <c r="E122">
        <v>79.422222219999995</v>
      </c>
      <c r="F122">
        <v>7.7083333329999997</v>
      </c>
    </row>
    <row r="123" spans="1:6" x14ac:dyDescent="0.2">
      <c r="A123" s="3">
        <v>44318</v>
      </c>
      <c r="B123">
        <v>6.7419791670000002</v>
      </c>
      <c r="C123">
        <v>0.1</v>
      </c>
      <c r="D123">
        <v>17.158333330000001</v>
      </c>
      <c r="E123">
        <v>61.800379270000001</v>
      </c>
      <c r="F123">
        <v>21.5</v>
      </c>
    </row>
    <row r="124" spans="1:6" x14ac:dyDescent="0.2">
      <c r="A124" s="3">
        <v>44319</v>
      </c>
      <c r="B124">
        <v>7.5618197890000003</v>
      </c>
      <c r="C124">
        <v>4.1666669999999998E-3</v>
      </c>
      <c r="D124">
        <v>14.16666667</v>
      </c>
      <c r="E124">
        <v>59.791666669999998</v>
      </c>
      <c r="F124">
        <v>26.666666670000001</v>
      </c>
    </row>
    <row r="125" spans="1:6" x14ac:dyDescent="0.2">
      <c r="A125" s="3">
        <v>44320</v>
      </c>
      <c r="B125">
        <v>8.0299725829999993</v>
      </c>
      <c r="C125">
        <v>0</v>
      </c>
      <c r="D125">
        <v>14.475</v>
      </c>
      <c r="E125">
        <v>66.580842320000002</v>
      </c>
      <c r="F125">
        <v>9.2916666669999994</v>
      </c>
    </row>
    <row r="126" spans="1:6" x14ac:dyDescent="0.2">
      <c r="A126" s="3">
        <v>44321</v>
      </c>
      <c r="B126">
        <v>8.6039583329999996</v>
      </c>
      <c r="C126">
        <v>0</v>
      </c>
      <c r="D126">
        <v>16.37083333</v>
      </c>
      <c r="E126">
        <v>64.291666669999998</v>
      </c>
      <c r="F126">
        <v>19.166666670000001</v>
      </c>
    </row>
    <row r="127" spans="1:6" x14ac:dyDescent="0.2">
      <c r="A127" s="3">
        <v>44322</v>
      </c>
      <c r="B127">
        <v>7.9626041670000003</v>
      </c>
      <c r="C127">
        <v>0</v>
      </c>
      <c r="D127">
        <v>14.737500000000001</v>
      </c>
      <c r="E127">
        <v>63.416666669999998</v>
      </c>
      <c r="F127">
        <v>22.541666670000001</v>
      </c>
    </row>
    <row r="128" spans="1:6" x14ac:dyDescent="0.2">
      <c r="A128" s="3">
        <v>44323</v>
      </c>
      <c r="B128">
        <v>7.712154076</v>
      </c>
      <c r="C128">
        <v>0.54583333300000003</v>
      </c>
      <c r="D128">
        <v>16.779166669999999</v>
      </c>
      <c r="E128">
        <v>66.958333330000002</v>
      </c>
      <c r="F128">
        <v>17.416666670000001</v>
      </c>
    </row>
    <row r="129" spans="1:6" x14ac:dyDescent="0.2">
      <c r="A129" s="3">
        <v>44324</v>
      </c>
      <c r="B129">
        <v>6.9961458329999999</v>
      </c>
      <c r="C129">
        <v>0</v>
      </c>
      <c r="D129">
        <v>15.366666670000001</v>
      </c>
      <c r="E129">
        <v>53.121125200000002</v>
      </c>
      <c r="F129">
        <v>26.875</v>
      </c>
    </row>
    <row r="130" spans="1:6" x14ac:dyDescent="0.2">
      <c r="A130" s="3">
        <v>44325</v>
      </c>
      <c r="B130">
        <v>6.8624999999999998</v>
      </c>
      <c r="C130">
        <v>0</v>
      </c>
      <c r="D130">
        <v>15.925000000000001</v>
      </c>
      <c r="E130">
        <v>69.249501879999997</v>
      </c>
      <c r="F130">
        <v>4.7083333329999997</v>
      </c>
    </row>
    <row r="131" spans="1:6" x14ac:dyDescent="0.2">
      <c r="A131" s="3">
        <v>44326</v>
      </c>
      <c r="B131">
        <v>8.5083333329999995</v>
      </c>
      <c r="C131">
        <v>0</v>
      </c>
      <c r="D131">
        <v>17.304166670000001</v>
      </c>
      <c r="E131">
        <v>63.952503059999998</v>
      </c>
      <c r="F131">
        <v>8.7916666669999994</v>
      </c>
    </row>
    <row r="132" spans="1:6" x14ac:dyDescent="0.2">
      <c r="A132" s="3">
        <v>44327</v>
      </c>
      <c r="B132">
        <v>10.0453125</v>
      </c>
      <c r="C132">
        <v>8.7499999999999994E-2</v>
      </c>
      <c r="D132">
        <v>17.8125</v>
      </c>
      <c r="E132">
        <v>68.734165619999999</v>
      </c>
      <c r="F132">
        <v>7.5</v>
      </c>
    </row>
    <row r="133" spans="1:6" x14ac:dyDescent="0.2">
      <c r="A133" s="3">
        <v>44328</v>
      </c>
      <c r="B133">
        <v>7.8670050839999996</v>
      </c>
      <c r="C133">
        <v>0.83750000000000002</v>
      </c>
      <c r="D133">
        <v>16.149999999999999</v>
      </c>
      <c r="E133">
        <v>77.951229130000002</v>
      </c>
      <c r="F133">
        <v>10.58333333</v>
      </c>
    </row>
    <row r="134" spans="1:6" x14ac:dyDescent="0.2">
      <c r="A134" s="3">
        <v>44329</v>
      </c>
      <c r="B134">
        <v>9.2923958330000005</v>
      </c>
      <c r="C134">
        <v>0.82083333300000005</v>
      </c>
      <c r="D134">
        <v>15.1</v>
      </c>
      <c r="E134">
        <v>81.136888900000002</v>
      </c>
      <c r="F134">
        <v>8.5</v>
      </c>
    </row>
    <row r="135" spans="1:6" x14ac:dyDescent="0.2">
      <c r="A135" s="3">
        <v>44330</v>
      </c>
      <c r="B135">
        <v>8.2112390439999992</v>
      </c>
      <c r="C135">
        <v>0.78333333299999997</v>
      </c>
      <c r="D135">
        <v>15.27916667</v>
      </c>
      <c r="E135">
        <v>79.981712689999995</v>
      </c>
      <c r="F135">
        <v>10.49066096</v>
      </c>
    </row>
    <row r="136" spans="1:6" x14ac:dyDescent="0.2">
      <c r="A136" s="3">
        <v>44331</v>
      </c>
      <c r="B136">
        <v>9.2023958330000006</v>
      </c>
      <c r="C136">
        <v>4.1666669999999998E-3</v>
      </c>
      <c r="D136">
        <v>15.75416667</v>
      </c>
      <c r="E136">
        <v>74.208333330000002</v>
      </c>
      <c r="F136">
        <v>8.625</v>
      </c>
    </row>
    <row r="137" spans="1:6" x14ac:dyDescent="0.2">
      <c r="A137" s="3">
        <v>44332</v>
      </c>
      <c r="B137">
        <v>6.8966666669999999</v>
      </c>
      <c r="C137">
        <v>0.47916666699999999</v>
      </c>
      <c r="D137">
        <v>16.37083333</v>
      </c>
      <c r="E137">
        <v>80.39505776</v>
      </c>
      <c r="F137">
        <v>12.66666667</v>
      </c>
    </row>
    <row r="138" spans="1:6" x14ac:dyDescent="0.2">
      <c r="A138" s="3">
        <v>44333</v>
      </c>
      <c r="B138">
        <v>8.7825587980000002</v>
      </c>
      <c r="C138">
        <v>0.36249999999999999</v>
      </c>
      <c r="D138">
        <v>16.412500000000001</v>
      </c>
      <c r="E138">
        <v>67.031248410000003</v>
      </c>
      <c r="F138">
        <v>17.416666670000001</v>
      </c>
    </row>
    <row r="139" spans="1:6" x14ac:dyDescent="0.2">
      <c r="A139" s="3">
        <v>44334</v>
      </c>
      <c r="B139">
        <v>11.242708329999999</v>
      </c>
      <c r="C139">
        <v>0</v>
      </c>
      <c r="D139">
        <v>16.350000000000001</v>
      </c>
      <c r="E139">
        <v>69.375</v>
      </c>
      <c r="F139">
        <v>8.5833333330000006</v>
      </c>
    </row>
    <row r="140" spans="1:6" x14ac:dyDescent="0.2">
      <c r="A140" s="3">
        <v>44335</v>
      </c>
      <c r="B140">
        <v>11.04270833</v>
      </c>
      <c r="C140">
        <v>0.52500000000000002</v>
      </c>
      <c r="D140">
        <v>13.65833333</v>
      </c>
      <c r="E140">
        <v>74.152247239999994</v>
      </c>
      <c r="F140">
        <v>20.5</v>
      </c>
    </row>
    <row r="141" spans="1:6" x14ac:dyDescent="0.2">
      <c r="A141" s="3">
        <v>44336</v>
      </c>
      <c r="B141">
        <v>9.5307291670000005</v>
      </c>
      <c r="C141">
        <v>0</v>
      </c>
      <c r="D141">
        <v>15.324999999999999</v>
      </c>
      <c r="E141">
        <v>73.203509929999996</v>
      </c>
      <c r="F141">
        <v>6.7916666670000003</v>
      </c>
    </row>
    <row r="142" spans="1:6" x14ac:dyDescent="0.2">
      <c r="A142" s="3">
        <v>44337</v>
      </c>
      <c r="B142">
        <v>8.0590624999999996</v>
      </c>
      <c r="C142">
        <v>0</v>
      </c>
      <c r="D142">
        <v>17.3125</v>
      </c>
      <c r="E142">
        <v>54.208333330000002</v>
      </c>
      <c r="F142">
        <v>11.125</v>
      </c>
    </row>
    <row r="143" spans="1:6" x14ac:dyDescent="0.2">
      <c r="A143" s="3">
        <v>44338</v>
      </c>
      <c r="B143">
        <v>6.8354166669999996</v>
      </c>
      <c r="C143">
        <v>0</v>
      </c>
      <c r="D143">
        <v>17.829166669999999</v>
      </c>
      <c r="E143">
        <v>59.416666669999998</v>
      </c>
      <c r="F143">
        <v>13.25</v>
      </c>
    </row>
    <row r="144" spans="1:6" x14ac:dyDescent="0.2">
      <c r="A144" s="3">
        <v>44339</v>
      </c>
      <c r="B144">
        <v>7.3313541669999998</v>
      </c>
      <c r="C144">
        <v>2.0833332999999999E-2</v>
      </c>
      <c r="D144">
        <v>18.541666670000001</v>
      </c>
      <c r="E144">
        <v>69.333333330000002</v>
      </c>
      <c r="F144">
        <v>17.75</v>
      </c>
    </row>
    <row r="145" spans="1:6" x14ac:dyDescent="0.2">
      <c r="A145" s="3">
        <v>44340</v>
      </c>
      <c r="B145">
        <v>7.696189511</v>
      </c>
      <c r="C145">
        <v>0.54583333300000003</v>
      </c>
      <c r="D145">
        <v>16.070833329999999</v>
      </c>
      <c r="E145">
        <v>71.333333330000002</v>
      </c>
      <c r="F145">
        <v>19</v>
      </c>
    </row>
    <row r="146" spans="1:6" x14ac:dyDescent="0.2">
      <c r="A146" s="3">
        <v>44341</v>
      </c>
      <c r="B146">
        <v>8.2012499999999999</v>
      </c>
      <c r="C146">
        <v>3.3333333E-2</v>
      </c>
      <c r="D146">
        <v>16.091666669999999</v>
      </c>
      <c r="E146">
        <v>77.148931680000004</v>
      </c>
      <c r="F146">
        <v>10.95833333</v>
      </c>
    </row>
    <row r="147" spans="1:6" x14ac:dyDescent="0.2">
      <c r="A147" s="3">
        <v>44342</v>
      </c>
      <c r="B147">
        <v>8.7391272000000004</v>
      </c>
      <c r="C147">
        <v>0</v>
      </c>
      <c r="D147">
        <v>16.883333329999999</v>
      </c>
      <c r="E147">
        <v>62.361737980000001</v>
      </c>
      <c r="F147">
        <v>16.208333329999999</v>
      </c>
    </row>
    <row r="148" spans="1:6" x14ac:dyDescent="0.2">
      <c r="A148" s="3">
        <v>44343</v>
      </c>
      <c r="B148">
        <v>8.6087726690000004</v>
      </c>
      <c r="C148">
        <v>2.5000000000000001E-2</v>
      </c>
      <c r="D148">
        <v>17.31666667</v>
      </c>
      <c r="E148">
        <v>68.877651520000001</v>
      </c>
      <c r="F148">
        <v>9.2083333330000006</v>
      </c>
    </row>
    <row r="149" spans="1:6" x14ac:dyDescent="0.2">
      <c r="A149" s="3">
        <v>44344</v>
      </c>
      <c r="B149">
        <v>7.9484025230000004</v>
      </c>
      <c r="C149">
        <v>4.1666669999999998E-3</v>
      </c>
      <c r="D149">
        <v>17.916666670000001</v>
      </c>
      <c r="E149">
        <v>60.071842220000001</v>
      </c>
      <c r="F149">
        <v>19.208333329999999</v>
      </c>
    </row>
    <row r="150" spans="1:6" x14ac:dyDescent="0.2">
      <c r="A150" s="3">
        <v>44345</v>
      </c>
      <c r="B150">
        <v>6.6470833330000003</v>
      </c>
      <c r="C150">
        <v>2.9166667E-2</v>
      </c>
      <c r="D150">
        <v>17.675000000000001</v>
      </c>
      <c r="E150">
        <v>62.958449729999998</v>
      </c>
      <c r="F150">
        <v>12.66666667</v>
      </c>
    </row>
    <row r="151" spans="1:6" x14ac:dyDescent="0.2">
      <c r="A151" s="3">
        <v>44346</v>
      </c>
      <c r="B151">
        <v>6.9129166670000002</v>
      </c>
      <c r="C151">
        <v>0</v>
      </c>
      <c r="D151">
        <v>18.383333329999999</v>
      </c>
      <c r="E151">
        <v>49.875</v>
      </c>
      <c r="F151">
        <v>23.208333329999999</v>
      </c>
    </row>
    <row r="152" spans="1:6" x14ac:dyDescent="0.2">
      <c r="A152" s="3">
        <v>44347</v>
      </c>
      <c r="B152">
        <v>8.3907291669999999</v>
      </c>
      <c r="C152">
        <v>0</v>
      </c>
      <c r="D152">
        <v>17.279166669999999</v>
      </c>
      <c r="E152">
        <v>56.356220290000003</v>
      </c>
      <c r="F152">
        <v>14.5</v>
      </c>
    </row>
    <row r="153" spans="1:6" x14ac:dyDescent="0.2">
      <c r="A153" s="3">
        <v>44348</v>
      </c>
      <c r="B153">
        <v>8.2616908060000007</v>
      </c>
      <c r="C153">
        <v>0</v>
      </c>
      <c r="D153">
        <v>18.074999999999999</v>
      </c>
      <c r="E153">
        <v>61.183333330000004</v>
      </c>
      <c r="F153">
        <v>9.2083333330000006</v>
      </c>
    </row>
    <row r="154" spans="1:6" x14ac:dyDescent="0.2">
      <c r="A154" s="3">
        <v>44349</v>
      </c>
      <c r="B154">
        <v>7.1530208330000002</v>
      </c>
      <c r="C154">
        <v>0</v>
      </c>
      <c r="D154">
        <v>18.554166670000001</v>
      </c>
      <c r="E154">
        <v>66.862266910000002</v>
      </c>
      <c r="F154">
        <v>7.2916666670000003</v>
      </c>
    </row>
    <row r="155" spans="1:6" x14ac:dyDescent="0.2">
      <c r="A155" s="3">
        <v>44350</v>
      </c>
      <c r="B155">
        <v>8.0678125000000005</v>
      </c>
      <c r="C155">
        <v>0</v>
      </c>
      <c r="D155">
        <v>19.600000000000001</v>
      </c>
      <c r="E155">
        <v>62.080927850000002</v>
      </c>
      <c r="F155">
        <v>5.4583333329999997</v>
      </c>
    </row>
    <row r="156" spans="1:6" x14ac:dyDescent="0.2">
      <c r="A156" s="3">
        <v>44351</v>
      </c>
      <c r="B156">
        <v>7.8032291669999996</v>
      </c>
      <c r="C156">
        <v>0</v>
      </c>
      <c r="D156">
        <v>21.116666670000001</v>
      </c>
      <c r="E156">
        <v>65.024319539999993</v>
      </c>
      <c r="F156">
        <v>5.75</v>
      </c>
    </row>
    <row r="157" spans="1:6" x14ac:dyDescent="0.2">
      <c r="A157" s="3">
        <v>44352</v>
      </c>
      <c r="B157">
        <v>7.7361458330000001</v>
      </c>
      <c r="C157">
        <v>0</v>
      </c>
      <c r="D157">
        <v>21.916666670000001</v>
      </c>
      <c r="E157">
        <v>64.063014620000004</v>
      </c>
      <c r="F157">
        <v>8.75</v>
      </c>
    </row>
    <row r="158" spans="1:6" x14ac:dyDescent="0.2">
      <c r="A158" s="3">
        <v>44353</v>
      </c>
      <c r="B158">
        <v>6.2836458329999996</v>
      </c>
      <c r="C158">
        <v>0.41666666699999999</v>
      </c>
      <c r="D158">
        <v>21.333333329999999</v>
      </c>
      <c r="E158">
        <v>72.72034841</v>
      </c>
      <c r="F158">
        <v>10.70833333</v>
      </c>
    </row>
    <row r="159" spans="1:6" x14ac:dyDescent="0.2">
      <c r="A159" s="3">
        <v>44354</v>
      </c>
      <c r="B159">
        <v>9.2030208330000001</v>
      </c>
      <c r="C159">
        <v>3.7499999999999999E-2</v>
      </c>
      <c r="D159">
        <v>22.554166670000001</v>
      </c>
      <c r="E159">
        <v>65.553805240000003</v>
      </c>
      <c r="F159">
        <v>15.875</v>
      </c>
    </row>
    <row r="160" spans="1:6" x14ac:dyDescent="0.2">
      <c r="A160" s="3">
        <v>44355</v>
      </c>
      <c r="B160">
        <v>8.9898958330000003</v>
      </c>
      <c r="C160">
        <v>2.5000000000000001E-2</v>
      </c>
      <c r="D160">
        <v>23.079166669999999</v>
      </c>
      <c r="E160">
        <v>62.86512192</v>
      </c>
      <c r="F160">
        <v>9.625</v>
      </c>
    </row>
    <row r="161" spans="1:6" x14ac:dyDescent="0.2">
      <c r="A161" s="3">
        <v>44356</v>
      </c>
      <c r="B161">
        <v>8.7054166669999997</v>
      </c>
      <c r="C161">
        <v>7.9166666999999996E-2</v>
      </c>
      <c r="D161">
        <v>23.970833330000001</v>
      </c>
      <c r="E161">
        <v>57.091115100000003</v>
      </c>
      <c r="F161">
        <v>12.83333333</v>
      </c>
    </row>
    <row r="162" spans="1:6" x14ac:dyDescent="0.2">
      <c r="A162" s="3">
        <v>44357</v>
      </c>
      <c r="B162">
        <v>9.3399796669999997</v>
      </c>
      <c r="C162">
        <v>0</v>
      </c>
      <c r="D162">
        <v>24.612500000000001</v>
      </c>
      <c r="E162">
        <v>49.041666669999998</v>
      </c>
      <c r="F162">
        <v>19.166666670000001</v>
      </c>
    </row>
    <row r="163" spans="1:6" x14ac:dyDescent="0.2">
      <c r="A163" s="3">
        <v>44358</v>
      </c>
      <c r="B163">
        <v>8.8072916669999994</v>
      </c>
      <c r="C163">
        <v>4.1666669999999998E-3</v>
      </c>
      <c r="D163">
        <v>23.25</v>
      </c>
      <c r="E163">
        <v>52.822929039999998</v>
      </c>
      <c r="F163">
        <v>10.20833333</v>
      </c>
    </row>
    <row r="164" spans="1:6" x14ac:dyDescent="0.2">
      <c r="A164" s="3">
        <v>44359</v>
      </c>
      <c r="B164">
        <v>7.9465624999999998</v>
      </c>
      <c r="C164">
        <v>0</v>
      </c>
      <c r="D164">
        <v>23.241666670000001</v>
      </c>
      <c r="E164">
        <v>58.127921819999997</v>
      </c>
      <c r="F164">
        <v>6.0833333329999997</v>
      </c>
    </row>
    <row r="165" spans="1:6" x14ac:dyDescent="0.2">
      <c r="A165" s="3">
        <v>44360</v>
      </c>
      <c r="B165">
        <v>9.3821169379999994</v>
      </c>
      <c r="C165">
        <v>0</v>
      </c>
      <c r="D165">
        <v>24.725000000000001</v>
      </c>
      <c r="E165">
        <v>58.93743465</v>
      </c>
      <c r="F165">
        <v>8.5416666669999994</v>
      </c>
    </row>
    <row r="166" spans="1:6" x14ac:dyDescent="0.2">
      <c r="A166" s="3">
        <v>44361</v>
      </c>
      <c r="B166">
        <v>9.2665609890000002</v>
      </c>
      <c r="C166">
        <v>0</v>
      </c>
      <c r="D166">
        <v>22.083333329999999</v>
      </c>
      <c r="E166">
        <v>57.541442910000001</v>
      </c>
      <c r="F166">
        <v>14.70833333</v>
      </c>
    </row>
    <row r="167" spans="1:6" x14ac:dyDescent="0.2">
      <c r="A167" s="3">
        <v>44362</v>
      </c>
      <c r="B167">
        <v>10.274344660000001</v>
      </c>
      <c r="C167">
        <v>0</v>
      </c>
      <c r="D167">
        <v>21.87083333</v>
      </c>
      <c r="E167">
        <v>56.333333330000002</v>
      </c>
      <c r="F167">
        <v>7.5833333329999997</v>
      </c>
    </row>
    <row r="168" spans="1:6" x14ac:dyDescent="0.2">
      <c r="A168" s="3">
        <v>44363</v>
      </c>
      <c r="B168">
        <v>12.37465521</v>
      </c>
      <c r="C168">
        <v>0</v>
      </c>
      <c r="D168">
        <v>23.229166670000001</v>
      </c>
      <c r="E168">
        <v>69.825982819999993</v>
      </c>
      <c r="F168">
        <v>4.5416666670000003</v>
      </c>
    </row>
    <row r="169" spans="1:6" x14ac:dyDescent="0.2">
      <c r="A169" s="3">
        <v>44364</v>
      </c>
      <c r="B169">
        <v>9.6105285669999994</v>
      </c>
      <c r="C169">
        <v>0</v>
      </c>
      <c r="D169">
        <v>24.62083333</v>
      </c>
      <c r="E169">
        <v>60.609196969999999</v>
      </c>
      <c r="F169">
        <v>5.125</v>
      </c>
    </row>
    <row r="170" spans="1:6" x14ac:dyDescent="0.2">
      <c r="A170" s="3">
        <v>44365</v>
      </c>
      <c r="B170">
        <v>9.2341666670000002</v>
      </c>
      <c r="C170">
        <v>0</v>
      </c>
      <c r="D170">
        <v>24.633333329999999</v>
      </c>
      <c r="E170">
        <v>63.018996629999997</v>
      </c>
      <c r="F170">
        <v>6.25</v>
      </c>
    </row>
    <row r="171" spans="1:6" x14ac:dyDescent="0.2">
      <c r="A171" s="3">
        <v>44366</v>
      </c>
      <c r="B171">
        <v>9.4770833329999995</v>
      </c>
      <c r="C171">
        <v>0</v>
      </c>
      <c r="D171">
        <v>24.858333330000001</v>
      </c>
      <c r="E171">
        <v>67.618588189999997</v>
      </c>
      <c r="F171">
        <v>6.25</v>
      </c>
    </row>
    <row r="172" spans="1:6" x14ac:dyDescent="0.2">
      <c r="A172" s="3">
        <v>44367</v>
      </c>
      <c r="B172">
        <v>9.0727083329999996</v>
      </c>
      <c r="C172">
        <v>0</v>
      </c>
      <c r="D172">
        <v>25.945833329999999</v>
      </c>
      <c r="E172">
        <v>71.208431739999995</v>
      </c>
      <c r="F172">
        <v>6.375</v>
      </c>
    </row>
    <row r="173" spans="1:6" x14ac:dyDescent="0.2">
      <c r="A173" s="3">
        <v>44368</v>
      </c>
      <c r="B173">
        <v>10.49020833</v>
      </c>
      <c r="C173">
        <v>0</v>
      </c>
      <c r="D173">
        <v>27.108333330000001</v>
      </c>
      <c r="E173">
        <v>58.25423576</v>
      </c>
      <c r="F173">
        <v>9.4166666669999994</v>
      </c>
    </row>
    <row r="174" spans="1:6" x14ac:dyDescent="0.2">
      <c r="A174" s="3">
        <v>44369</v>
      </c>
      <c r="B174">
        <v>10.981629440000001</v>
      </c>
      <c r="C174">
        <v>0</v>
      </c>
      <c r="D174">
        <v>27.279166669999999</v>
      </c>
      <c r="E174">
        <v>56.875003710000001</v>
      </c>
      <c r="F174">
        <v>11.66666667</v>
      </c>
    </row>
    <row r="175" spans="1:6" x14ac:dyDescent="0.2">
      <c r="A175" s="3">
        <v>44370</v>
      </c>
      <c r="B175">
        <v>10.73769289</v>
      </c>
      <c r="C175">
        <v>0</v>
      </c>
      <c r="D175">
        <v>27.0625</v>
      </c>
      <c r="E175">
        <v>63.833431740000002</v>
      </c>
      <c r="F175">
        <v>7.8333333329999997</v>
      </c>
    </row>
    <row r="176" spans="1:6" x14ac:dyDescent="0.2">
      <c r="A176" s="3">
        <v>44371</v>
      </c>
      <c r="B176">
        <v>10.786135460000001</v>
      </c>
      <c r="C176">
        <v>0</v>
      </c>
      <c r="D176">
        <v>27.212499999999999</v>
      </c>
      <c r="E176">
        <v>68.363584290000006</v>
      </c>
      <c r="F176">
        <v>7.4583333329999997</v>
      </c>
    </row>
    <row r="177" spans="1:6" x14ac:dyDescent="0.2">
      <c r="A177" s="3">
        <v>44372</v>
      </c>
      <c r="B177">
        <v>10.456041669999999</v>
      </c>
      <c r="C177">
        <v>0</v>
      </c>
      <c r="D177">
        <v>25.9</v>
      </c>
      <c r="E177">
        <v>56.980902649999997</v>
      </c>
      <c r="F177">
        <v>13.875</v>
      </c>
    </row>
    <row r="178" spans="1:6" x14ac:dyDescent="0.2">
      <c r="A178" s="3">
        <v>44373</v>
      </c>
      <c r="B178">
        <v>9.3468317360000004</v>
      </c>
      <c r="C178">
        <v>0</v>
      </c>
      <c r="D178">
        <v>26.116666670000001</v>
      </c>
      <c r="E178">
        <v>52.795454550000002</v>
      </c>
      <c r="F178">
        <v>13.5</v>
      </c>
    </row>
    <row r="179" spans="1:6" x14ac:dyDescent="0.2">
      <c r="A179" s="3">
        <v>44374</v>
      </c>
      <c r="B179">
        <v>9.3492708330000003</v>
      </c>
      <c r="C179">
        <v>0</v>
      </c>
      <c r="D179">
        <v>26.895833329999999</v>
      </c>
      <c r="E179">
        <v>56.631792660000002</v>
      </c>
      <c r="F179">
        <v>8.9583333330000006</v>
      </c>
    </row>
    <row r="180" spans="1:6" x14ac:dyDescent="0.2">
      <c r="A180" s="3">
        <v>44375</v>
      </c>
      <c r="B180">
        <v>10.61846171</v>
      </c>
      <c r="C180">
        <v>0</v>
      </c>
      <c r="D180">
        <v>27.00416667</v>
      </c>
      <c r="E180">
        <v>54.35304215</v>
      </c>
      <c r="F180">
        <v>6.7083333329999997</v>
      </c>
    </row>
    <row r="181" spans="1:6" x14ac:dyDescent="0.2">
      <c r="A181" s="3">
        <v>44376</v>
      </c>
      <c r="B181">
        <v>10.41919738</v>
      </c>
      <c r="C181">
        <v>0</v>
      </c>
      <c r="D181">
        <v>27.74583333</v>
      </c>
      <c r="E181">
        <v>54.541666669999998</v>
      </c>
      <c r="F181">
        <v>11.375</v>
      </c>
    </row>
    <row r="182" spans="1:6" x14ac:dyDescent="0.2">
      <c r="A182" s="3">
        <v>44377</v>
      </c>
      <c r="B182">
        <v>10.7103492</v>
      </c>
      <c r="C182">
        <v>6.6666666999999999E-2</v>
      </c>
      <c r="D182">
        <v>26.704166669999999</v>
      </c>
      <c r="E182">
        <v>56.333333330000002</v>
      </c>
      <c r="F182">
        <v>15.625</v>
      </c>
    </row>
    <row r="183" spans="1:6" x14ac:dyDescent="0.2">
      <c r="A183" s="3">
        <v>44378</v>
      </c>
      <c r="B183">
        <v>9.421875</v>
      </c>
      <c r="C183">
        <v>0.24583333299999999</v>
      </c>
      <c r="D183">
        <v>24.179166670000001</v>
      </c>
      <c r="E183">
        <v>56.875</v>
      </c>
      <c r="F183">
        <v>19.5</v>
      </c>
    </row>
    <row r="184" spans="1:6" x14ac:dyDescent="0.2">
      <c r="A184" s="3">
        <v>44379</v>
      </c>
      <c r="B184">
        <v>9.8607291670000006</v>
      </c>
      <c r="C184">
        <v>0</v>
      </c>
      <c r="D184">
        <v>24.524999999999999</v>
      </c>
      <c r="E184">
        <v>46.875</v>
      </c>
      <c r="F184">
        <v>14.16666667</v>
      </c>
    </row>
    <row r="185" spans="1:6" x14ac:dyDescent="0.2">
      <c r="A185" s="3">
        <v>44380</v>
      </c>
      <c r="B185">
        <v>9.227735805</v>
      </c>
      <c r="C185">
        <v>0</v>
      </c>
      <c r="D185">
        <v>25.070833329999999</v>
      </c>
      <c r="E185">
        <v>54.424999999999997</v>
      </c>
      <c r="F185">
        <v>11.04166667</v>
      </c>
    </row>
    <row r="186" spans="1:6" x14ac:dyDescent="0.2">
      <c r="A186" s="3">
        <v>44381</v>
      </c>
      <c r="B186">
        <v>8.0860688560000007</v>
      </c>
      <c r="C186">
        <v>0.94166666700000001</v>
      </c>
      <c r="D186">
        <v>23.4</v>
      </c>
      <c r="E186">
        <v>70</v>
      </c>
      <c r="F186">
        <v>9.5833333330000006</v>
      </c>
    </row>
    <row r="187" spans="1:6" x14ac:dyDescent="0.2">
      <c r="A187" s="3">
        <v>44382</v>
      </c>
      <c r="B187">
        <v>9.2611944869999991</v>
      </c>
      <c r="C187">
        <v>0.304166667</v>
      </c>
      <c r="D187">
        <v>23.729166670000001</v>
      </c>
      <c r="E187">
        <v>68</v>
      </c>
      <c r="F187">
        <v>9.875</v>
      </c>
    </row>
    <row r="188" spans="1:6" x14ac:dyDescent="0.2">
      <c r="A188" s="3">
        <v>44383</v>
      </c>
      <c r="B188">
        <v>10.07509587</v>
      </c>
      <c r="C188">
        <v>0</v>
      </c>
      <c r="D188">
        <v>25.854166670000001</v>
      </c>
      <c r="E188">
        <v>60.333333330000002</v>
      </c>
      <c r="F188">
        <v>6.0416666670000003</v>
      </c>
    </row>
    <row r="189" spans="1:6" x14ac:dyDescent="0.2">
      <c r="A189" s="3">
        <v>44384</v>
      </c>
      <c r="B189">
        <v>11.29833333</v>
      </c>
      <c r="C189">
        <v>0</v>
      </c>
      <c r="D189">
        <v>26.762499999999999</v>
      </c>
      <c r="E189">
        <v>62.666666669999998</v>
      </c>
      <c r="F189">
        <v>7</v>
      </c>
    </row>
    <row r="190" spans="1:6" x14ac:dyDescent="0.2">
      <c r="A190" s="3">
        <v>44385</v>
      </c>
      <c r="B190">
        <v>9.8309374999999992</v>
      </c>
      <c r="C190">
        <v>0</v>
      </c>
      <c r="D190">
        <v>29.358333330000001</v>
      </c>
      <c r="E190">
        <v>51.208333330000002</v>
      </c>
      <c r="F190">
        <v>8.0416666669999994</v>
      </c>
    </row>
    <row r="191" spans="1:6" x14ac:dyDescent="0.2">
      <c r="A191" s="3">
        <v>44386</v>
      </c>
      <c r="B191">
        <v>9.8839583330000007</v>
      </c>
      <c r="C191">
        <v>0</v>
      </c>
      <c r="D191">
        <v>25.30833333</v>
      </c>
      <c r="E191">
        <v>64.395833330000002</v>
      </c>
      <c r="F191">
        <v>13.08333333</v>
      </c>
    </row>
    <row r="192" spans="1:6" x14ac:dyDescent="0.2">
      <c r="A192" s="3">
        <v>44387</v>
      </c>
      <c r="B192">
        <v>9.0770833329999991</v>
      </c>
      <c r="C192">
        <v>0</v>
      </c>
      <c r="D192">
        <v>27.69166667</v>
      </c>
      <c r="E192">
        <v>45.083333330000002</v>
      </c>
      <c r="F192">
        <v>18.666666670000001</v>
      </c>
    </row>
    <row r="193" spans="1:6" x14ac:dyDescent="0.2">
      <c r="A193" s="3">
        <v>44388</v>
      </c>
      <c r="B193">
        <v>8.8213541670000009</v>
      </c>
      <c r="C193">
        <v>0</v>
      </c>
      <c r="D193">
        <v>26.62083333</v>
      </c>
      <c r="E193">
        <v>55.217764780000003</v>
      </c>
      <c r="F193">
        <v>12.75</v>
      </c>
    </row>
    <row r="194" spans="1:6" x14ac:dyDescent="0.2">
      <c r="A194" s="3">
        <v>44389</v>
      </c>
      <c r="B194">
        <v>9.9855208330000007</v>
      </c>
      <c r="C194">
        <v>0</v>
      </c>
      <c r="D194">
        <v>26.43333333</v>
      </c>
      <c r="E194">
        <v>62.174927910000001</v>
      </c>
      <c r="F194">
        <v>12.58333333</v>
      </c>
    </row>
    <row r="195" spans="1:6" x14ac:dyDescent="0.2">
      <c r="A195" s="3">
        <v>44390</v>
      </c>
      <c r="B195">
        <v>10.77125</v>
      </c>
      <c r="C195">
        <v>0.21666666700000001</v>
      </c>
      <c r="D195">
        <v>27.512499999999999</v>
      </c>
      <c r="E195">
        <v>55.822916669999998</v>
      </c>
      <c r="F195">
        <v>10.83333333</v>
      </c>
    </row>
    <row r="196" spans="1:6" x14ac:dyDescent="0.2">
      <c r="A196" s="3">
        <v>44391</v>
      </c>
      <c r="B196">
        <v>10.4628125</v>
      </c>
      <c r="C196">
        <v>0.12916666700000001</v>
      </c>
      <c r="D196">
        <v>23.720833330000001</v>
      </c>
      <c r="E196">
        <v>64.208333330000002</v>
      </c>
      <c r="F196">
        <v>15.58333333</v>
      </c>
    </row>
    <row r="197" spans="1:6" x14ac:dyDescent="0.2">
      <c r="A197" s="3">
        <v>44392</v>
      </c>
      <c r="B197">
        <v>9.3372916670000006</v>
      </c>
      <c r="C197">
        <v>0</v>
      </c>
      <c r="D197">
        <v>23.95</v>
      </c>
      <c r="E197">
        <v>55.666666669999998</v>
      </c>
      <c r="F197">
        <v>8.9583333330000006</v>
      </c>
    </row>
    <row r="198" spans="1:6" x14ac:dyDescent="0.2">
      <c r="A198" s="3">
        <v>44393</v>
      </c>
      <c r="B198">
        <v>9.8656249999999996</v>
      </c>
      <c r="C198">
        <v>1.6666667E-2</v>
      </c>
      <c r="D198">
        <v>23.858333330000001</v>
      </c>
      <c r="E198">
        <v>58.666666669999998</v>
      </c>
      <c r="F198">
        <v>18.041666670000001</v>
      </c>
    </row>
    <row r="199" spans="1:6" x14ac:dyDescent="0.2">
      <c r="A199" s="3">
        <v>44394</v>
      </c>
      <c r="B199">
        <v>11.571562500000001</v>
      </c>
      <c r="C199">
        <v>4.1666669999999998E-3</v>
      </c>
      <c r="D199">
        <v>24.612500000000001</v>
      </c>
      <c r="E199">
        <v>60.695040650000003</v>
      </c>
      <c r="F199">
        <v>16.583333329999999</v>
      </c>
    </row>
    <row r="200" spans="1:6" x14ac:dyDescent="0.2">
      <c r="A200" s="3">
        <v>44395</v>
      </c>
      <c r="B200">
        <v>11.385624999999999</v>
      </c>
      <c r="C200">
        <v>8.3333330000000001E-3</v>
      </c>
      <c r="D200">
        <v>25.195833329999999</v>
      </c>
      <c r="E200">
        <v>58.916666669999998</v>
      </c>
      <c r="F200">
        <v>14.58333333</v>
      </c>
    </row>
    <row r="201" spans="1:6" x14ac:dyDescent="0.2">
      <c r="A201" s="3">
        <v>44396</v>
      </c>
      <c r="B201">
        <v>12.55541667</v>
      </c>
      <c r="C201">
        <v>0</v>
      </c>
      <c r="D201">
        <v>26.725000000000001</v>
      </c>
      <c r="E201">
        <v>53.381245159999999</v>
      </c>
      <c r="F201">
        <v>14.75</v>
      </c>
    </row>
    <row r="202" spans="1:6" x14ac:dyDescent="0.2">
      <c r="A202" s="3">
        <v>44397</v>
      </c>
      <c r="B202">
        <v>13.10512501</v>
      </c>
      <c r="C202">
        <v>0</v>
      </c>
      <c r="D202">
        <v>26.166666670000001</v>
      </c>
      <c r="E202">
        <v>55.876282359999998</v>
      </c>
      <c r="F202">
        <v>8.875</v>
      </c>
    </row>
    <row r="203" spans="1:6" x14ac:dyDescent="0.2">
      <c r="A203" s="3">
        <v>44398</v>
      </c>
      <c r="B203">
        <v>11.74990749</v>
      </c>
      <c r="C203">
        <v>0</v>
      </c>
      <c r="D203">
        <v>25.770833329999999</v>
      </c>
      <c r="E203">
        <v>57.618749999999999</v>
      </c>
      <c r="F203">
        <v>14.91666667</v>
      </c>
    </row>
    <row r="204" spans="1:6" x14ac:dyDescent="0.2">
      <c r="A204" s="3">
        <v>44399</v>
      </c>
      <c r="B204">
        <v>10.26177083</v>
      </c>
      <c r="C204">
        <v>0</v>
      </c>
      <c r="D204">
        <v>25.529166669999999</v>
      </c>
      <c r="E204">
        <v>56.774307640000004</v>
      </c>
      <c r="F204">
        <v>13.95833333</v>
      </c>
    </row>
    <row r="205" spans="1:6" x14ac:dyDescent="0.2">
      <c r="A205" s="3">
        <v>44400</v>
      </c>
      <c r="B205">
        <v>12.029375</v>
      </c>
      <c r="C205">
        <v>0</v>
      </c>
      <c r="D205">
        <v>26.112500000000001</v>
      </c>
      <c r="E205">
        <v>62.391666669999999</v>
      </c>
      <c r="F205">
        <v>9.625</v>
      </c>
    </row>
    <row r="206" spans="1:6" x14ac:dyDescent="0.2">
      <c r="A206" s="3">
        <v>44401</v>
      </c>
      <c r="B206">
        <v>11.00583333</v>
      </c>
      <c r="C206">
        <v>0</v>
      </c>
      <c r="D206">
        <v>25.925000000000001</v>
      </c>
      <c r="E206">
        <v>63.583333330000002</v>
      </c>
      <c r="F206">
        <v>6.4583333329999997</v>
      </c>
    </row>
    <row r="207" spans="1:6" x14ac:dyDescent="0.2">
      <c r="A207" s="3">
        <v>44402</v>
      </c>
      <c r="B207">
        <v>10.79645833</v>
      </c>
      <c r="C207">
        <v>0</v>
      </c>
      <c r="D207">
        <v>27.962499999999999</v>
      </c>
      <c r="E207">
        <v>52.244188219999998</v>
      </c>
      <c r="F207">
        <v>10.20833333</v>
      </c>
    </row>
    <row r="208" spans="1:6" x14ac:dyDescent="0.2">
      <c r="A208" s="3">
        <v>44403</v>
      </c>
      <c r="B208">
        <v>11.671354170000001</v>
      </c>
      <c r="C208">
        <v>6.6666666999999999E-2</v>
      </c>
      <c r="D208">
        <v>27.866666670000001</v>
      </c>
      <c r="E208">
        <v>53.500002430000002</v>
      </c>
      <c r="F208">
        <v>12.25</v>
      </c>
    </row>
    <row r="209" spans="1:6" x14ac:dyDescent="0.2">
      <c r="A209" s="3">
        <v>44404</v>
      </c>
      <c r="B209">
        <v>11.69831793</v>
      </c>
      <c r="C209">
        <v>0.116666667</v>
      </c>
      <c r="D209">
        <v>25.612500000000001</v>
      </c>
      <c r="E209">
        <v>66.320141750000005</v>
      </c>
      <c r="F209">
        <v>11.625</v>
      </c>
    </row>
    <row r="210" spans="1:6" x14ac:dyDescent="0.2">
      <c r="A210" s="3">
        <v>44405</v>
      </c>
      <c r="B210">
        <v>11.8090625</v>
      </c>
      <c r="C210">
        <v>0</v>
      </c>
      <c r="D210">
        <v>25.925000000000001</v>
      </c>
      <c r="E210">
        <v>66.375</v>
      </c>
      <c r="F210">
        <v>8.0416666669999994</v>
      </c>
    </row>
    <row r="211" spans="1:6" x14ac:dyDescent="0.2">
      <c r="A211" s="3">
        <v>44406</v>
      </c>
      <c r="B211">
        <v>11.50169691</v>
      </c>
      <c r="C211">
        <v>0</v>
      </c>
      <c r="D211">
        <v>26.570833329999999</v>
      </c>
      <c r="E211">
        <v>62.667336980000002</v>
      </c>
      <c r="F211">
        <v>6.75</v>
      </c>
    </row>
    <row r="212" spans="1:6" x14ac:dyDescent="0.2">
      <c r="A212" s="3">
        <v>44407</v>
      </c>
      <c r="B212">
        <v>11.45302083</v>
      </c>
      <c r="C212">
        <v>0</v>
      </c>
      <c r="D212">
        <v>26.854166670000001</v>
      </c>
      <c r="E212">
        <v>64.229166669999998</v>
      </c>
      <c r="F212">
        <v>6.6666666670000003</v>
      </c>
    </row>
    <row r="213" spans="1:6" x14ac:dyDescent="0.2">
      <c r="A213" s="3">
        <v>44408</v>
      </c>
      <c r="B213">
        <v>10.696119339999999</v>
      </c>
      <c r="C213">
        <v>0</v>
      </c>
      <c r="D213">
        <v>27.516666669999999</v>
      </c>
      <c r="E213">
        <v>59.77685477</v>
      </c>
      <c r="F213">
        <v>7.625</v>
      </c>
    </row>
    <row r="214" spans="1:6" x14ac:dyDescent="0.2">
      <c r="A214" s="3">
        <v>44409</v>
      </c>
      <c r="B214">
        <v>10.73010433</v>
      </c>
      <c r="C214">
        <v>3.7499999999999999E-2</v>
      </c>
      <c r="D214">
        <v>27.333333329999999</v>
      </c>
      <c r="E214">
        <v>57.875</v>
      </c>
      <c r="F214">
        <v>18.666666670000001</v>
      </c>
    </row>
    <row r="215" spans="1:6" x14ac:dyDescent="0.2">
      <c r="A215" s="3">
        <v>44410</v>
      </c>
      <c r="B215">
        <v>11.10521949</v>
      </c>
      <c r="C215">
        <v>0</v>
      </c>
      <c r="D215">
        <v>24.591666669999999</v>
      </c>
      <c r="E215">
        <v>58.617283389999997</v>
      </c>
      <c r="F215">
        <v>9.75</v>
      </c>
    </row>
    <row r="216" spans="1:6" x14ac:dyDescent="0.2">
      <c r="A216" s="3">
        <v>44411</v>
      </c>
      <c r="B216">
        <v>10.439159350000001</v>
      </c>
      <c r="C216">
        <v>0.38750000000000001</v>
      </c>
      <c r="D216">
        <v>24.45</v>
      </c>
      <c r="E216">
        <v>62.25</v>
      </c>
      <c r="F216">
        <v>10.83333333</v>
      </c>
    </row>
    <row r="217" spans="1:6" x14ac:dyDescent="0.2">
      <c r="A217" s="3">
        <v>44412</v>
      </c>
      <c r="B217">
        <v>10.66802083</v>
      </c>
      <c r="C217">
        <v>0</v>
      </c>
      <c r="D217">
        <v>25.56666667</v>
      </c>
      <c r="E217">
        <v>57.208333330000002</v>
      </c>
      <c r="F217">
        <v>11.16666667</v>
      </c>
    </row>
    <row r="218" spans="1:6" x14ac:dyDescent="0.2">
      <c r="A218" s="3">
        <v>44413</v>
      </c>
      <c r="B218">
        <v>10.574375</v>
      </c>
      <c r="C218">
        <v>0.3</v>
      </c>
      <c r="D218">
        <v>23.612500000000001</v>
      </c>
      <c r="E218">
        <v>66.21875</v>
      </c>
      <c r="F218">
        <v>14.95833333</v>
      </c>
    </row>
    <row r="219" spans="1:6" x14ac:dyDescent="0.2">
      <c r="A219" s="3">
        <v>44414</v>
      </c>
      <c r="B219">
        <v>10.5815625</v>
      </c>
      <c r="C219">
        <v>8.3333330000000001E-3</v>
      </c>
      <c r="D219">
        <v>23.925000000000001</v>
      </c>
      <c r="E219">
        <v>68.666666669999998</v>
      </c>
      <c r="F219">
        <v>10.29166667</v>
      </c>
    </row>
    <row r="220" spans="1:6" x14ac:dyDescent="0.2">
      <c r="A220" s="3">
        <v>44415</v>
      </c>
      <c r="B220">
        <v>10.301979169999999</v>
      </c>
      <c r="C220">
        <v>0</v>
      </c>
      <c r="D220">
        <v>25.895833329999999</v>
      </c>
      <c r="E220">
        <v>61.25538117</v>
      </c>
      <c r="F220">
        <v>10.04166667</v>
      </c>
    </row>
    <row r="221" spans="1:6" x14ac:dyDescent="0.2">
      <c r="A221" s="3">
        <v>44416</v>
      </c>
      <c r="B221">
        <v>10.23229167</v>
      </c>
      <c r="C221">
        <v>0</v>
      </c>
      <c r="D221">
        <v>27.487500000000001</v>
      </c>
      <c r="E221">
        <v>62.874987529999999</v>
      </c>
      <c r="F221">
        <v>14.04166667</v>
      </c>
    </row>
    <row r="222" spans="1:6" x14ac:dyDescent="0.2">
      <c r="A222" s="3">
        <v>44417</v>
      </c>
      <c r="B222">
        <v>10.46854167</v>
      </c>
      <c r="C222">
        <v>0</v>
      </c>
      <c r="D222">
        <v>26.770833329999999</v>
      </c>
      <c r="E222">
        <v>60.051300859999998</v>
      </c>
      <c r="F222">
        <v>10.41666667</v>
      </c>
    </row>
    <row r="223" spans="1:6" x14ac:dyDescent="0.2">
      <c r="A223" s="3">
        <v>44418</v>
      </c>
      <c r="B223">
        <v>11.387708330000001</v>
      </c>
      <c r="C223">
        <v>0</v>
      </c>
      <c r="D223">
        <v>26.741666670000001</v>
      </c>
      <c r="E223">
        <v>59.559842369999998</v>
      </c>
      <c r="F223">
        <v>6</v>
      </c>
    </row>
    <row r="224" spans="1:6" x14ac:dyDescent="0.2">
      <c r="A224" s="3">
        <v>44419</v>
      </c>
      <c r="B224">
        <v>11.11135417</v>
      </c>
      <c r="C224">
        <v>0</v>
      </c>
      <c r="D224">
        <v>27.85</v>
      </c>
      <c r="E224">
        <v>56.396178749999997</v>
      </c>
      <c r="F224">
        <v>10.125</v>
      </c>
    </row>
    <row r="225" spans="1:6" x14ac:dyDescent="0.2">
      <c r="A225" s="3">
        <v>44420</v>
      </c>
      <c r="B225">
        <v>11.340624999999999</v>
      </c>
      <c r="C225">
        <v>0</v>
      </c>
      <c r="D225">
        <v>28.583333329999999</v>
      </c>
      <c r="E225">
        <v>53.319850350000003</v>
      </c>
      <c r="F225">
        <v>9.6329365080000002</v>
      </c>
    </row>
    <row r="226" spans="1:6" x14ac:dyDescent="0.2">
      <c r="A226" s="3">
        <v>44421</v>
      </c>
      <c r="B226">
        <v>11.10982259</v>
      </c>
      <c r="C226">
        <v>0</v>
      </c>
      <c r="D226">
        <v>27.925000000000001</v>
      </c>
      <c r="E226">
        <v>60.291666669999998</v>
      </c>
      <c r="F226">
        <v>5.4583333329999997</v>
      </c>
    </row>
    <row r="227" spans="1:6" x14ac:dyDescent="0.2">
      <c r="A227" s="3">
        <v>44422</v>
      </c>
      <c r="B227">
        <v>10.511494989999999</v>
      </c>
      <c r="C227">
        <v>0</v>
      </c>
      <c r="D227">
        <v>27.912500000000001</v>
      </c>
      <c r="E227">
        <v>67.291666669999998</v>
      </c>
      <c r="F227">
        <v>4.4583333329999997</v>
      </c>
    </row>
    <row r="228" spans="1:6" x14ac:dyDescent="0.2">
      <c r="A228" s="3">
        <v>44423</v>
      </c>
      <c r="B228">
        <v>10.701140410000001</v>
      </c>
      <c r="C228">
        <v>0</v>
      </c>
      <c r="D228">
        <v>28.283333330000001</v>
      </c>
      <c r="E228">
        <v>57.375</v>
      </c>
      <c r="F228">
        <v>5.75</v>
      </c>
    </row>
    <row r="229" spans="1:6" x14ac:dyDescent="0.2">
      <c r="A229" s="3">
        <v>44424</v>
      </c>
      <c r="B229">
        <v>11.1683793</v>
      </c>
      <c r="C229">
        <v>0</v>
      </c>
      <c r="D229">
        <v>29.074999999999999</v>
      </c>
      <c r="E229">
        <v>54.583333330000002</v>
      </c>
      <c r="F229">
        <v>12.25</v>
      </c>
    </row>
    <row r="230" spans="1:6" x14ac:dyDescent="0.2">
      <c r="A230" s="3">
        <v>44425</v>
      </c>
      <c r="B230">
        <v>11.495729170000001</v>
      </c>
      <c r="C230">
        <v>4.1666669999999998E-3</v>
      </c>
      <c r="D230">
        <v>24.616666670000001</v>
      </c>
      <c r="E230">
        <v>53.416666669999998</v>
      </c>
      <c r="F230">
        <v>36.333333330000002</v>
      </c>
    </row>
    <row r="231" spans="1:6" x14ac:dyDescent="0.2">
      <c r="A231" s="3">
        <v>44426</v>
      </c>
      <c r="B231">
        <v>13.05270833</v>
      </c>
      <c r="C231">
        <v>0</v>
      </c>
      <c r="D231">
        <v>23.658333330000001</v>
      </c>
      <c r="E231">
        <v>45.291666669999998</v>
      </c>
      <c r="F231">
        <v>31.5</v>
      </c>
    </row>
    <row r="232" spans="1:6" x14ac:dyDescent="0.2">
      <c r="A232" s="3">
        <v>44427</v>
      </c>
      <c r="B232">
        <v>12.008437499999999</v>
      </c>
      <c r="C232">
        <v>0</v>
      </c>
      <c r="D232">
        <v>24.016666669999999</v>
      </c>
      <c r="E232">
        <v>51.5</v>
      </c>
      <c r="F232">
        <v>14.41666667</v>
      </c>
    </row>
    <row r="233" spans="1:6" x14ac:dyDescent="0.2">
      <c r="A233" s="3">
        <v>44428</v>
      </c>
      <c r="B233">
        <v>12.165104169999999</v>
      </c>
      <c r="C233">
        <v>0</v>
      </c>
      <c r="D233">
        <v>25.108333330000001</v>
      </c>
      <c r="E233">
        <v>51.551094200000001</v>
      </c>
      <c r="F233">
        <v>11.33333333</v>
      </c>
    </row>
    <row r="234" spans="1:6" x14ac:dyDescent="0.2">
      <c r="A234" s="3">
        <v>44429</v>
      </c>
      <c r="B234">
        <v>11.4375</v>
      </c>
      <c r="C234">
        <v>0</v>
      </c>
      <c r="D234">
        <v>25.87916667</v>
      </c>
      <c r="E234">
        <v>52.703958069999999</v>
      </c>
      <c r="F234">
        <v>7.4583333329999997</v>
      </c>
    </row>
    <row r="235" spans="1:6" x14ac:dyDescent="0.2">
      <c r="A235" s="3">
        <v>44430</v>
      </c>
      <c r="B235">
        <v>11.057708330000001</v>
      </c>
      <c r="C235">
        <v>0</v>
      </c>
      <c r="D235">
        <v>25.49583333</v>
      </c>
      <c r="E235">
        <v>55.098740139999997</v>
      </c>
      <c r="F235">
        <v>5.2083333329999997</v>
      </c>
    </row>
    <row r="236" spans="1:6" x14ac:dyDescent="0.2">
      <c r="A236" s="3">
        <v>44431</v>
      </c>
      <c r="B236">
        <v>11.32427083</v>
      </c>
      <c r="C236">
        <v>0.445833333</v>
      </c>
      <c r="D236">
        <v>23.024999999999999</v>
      </c>
      <c r="E236">
        <v>61.958333330000002</v>
      </c>
      <c r="F236">
        <v>35</v>
      </c>
    </row>
    <row r="237" spans="1:6" x14ac:dyDescent="0.2">
      <c r="A237" s="3">
        <v>44432</v>
      </c>
      <c r="B237">
        <v>12.431041670000001</v>
      </c>
      <c r="C237">
        <v>0</v>
      </c>
      <c r="D237">
        <v>23.783333330000001</v>
      </c>
      <c r="E237">
        <v>49</v>
      </c>
      <c r="F237">
        <v>23.791666670000001</v>
      </c>
    </row>
    <row r="238" spans="1:6" x14ac:dyDescent="0.2">
      <c r="A238" s="3">
        <v>44433</v>
      </c>
      <c r="B238">
        <v>11.455937499999999</v>
      </c>
      <c r="C238">
        <v>4.1666669999999998E-3</v>
      </c>
      <c r="D238">
        <v>22.362500000000001</v>
      </c>
      <c r="E238">
        <v>47.583333330000002</v>
      </c>
      <c r="F238">
        <v>35.291666669999998</v>
      </c>
    </row>
    <row r="239" spans="1:6" x14ac:dyDescent="0.2">
      <c r="A239" s="3">
        <v>44434</v>
      </c>
      <c r="B239">
        <v>11.238645829999999</v>
      </c>
      <c r="C239">
        <v>0</v>
      </c>
      <c r="D239">
        <v>21.729166670000001</v>
      </c>
      <c r="E239">
        <v>54.458333330000002</v>
      </c>
      <c r="F239">
        <v>9.2083333330000006</v>
      </c>
    </row>
    <row r="240" spans="1:6" x14ac:dyDescent="0.2">
      <c r="A240" s="3">
        <v>44435</v>
      </c>
      <c r="B240">
        <v>11.098333330000001</v>
      </c>
      <c r="C240">
        <v>0.45416666700000002</v>
      </c>
      <c r="D240">
        <v>20.304166670000001</v>
      </c>
      <c r="E240">
        <v>58.166666669999998</v>
      </c>
      <c r="F240">
        <v>16.791666670000001</v>
      </c>
    </row>
    <row r="241" spans="1:6" x14ac:dyDescent="0.2">
      <c r="A241" s="3">
        <v>44436</v>
      </c>
      <c r="B241">
        <v>10.17947917</v>
      </c>
      <c r="C241">
        <v>0</v>
      </c>
      <c r="D241">
        <v>20.445833329999999</v>
      </c>
      <c r="E241">
        <v>50.625</v>
      </c>
      <c r="F241">
        <v>21.708333329999999</v>
      </c>
    </row>
    <row r="242" spans="1:6" x14ac:dyDescent="0.2">
      <c r="A242" s="3">
        <v>44437</v>
      </c>
      <c r="B242">
        <v>10.30239583</v>
      </c>
      <c r="C242">
        <v>3.3333333E-2</v>
      </c>
      <c r="D242">
        <v>19.5</v>
      </c>
      <c r="E242">
        <v>56.259027459999999</v>
      </c>
      <c r="F242">
        <v>16.625</v>
      </c>
    </row>
    <row r="243" spans="1:6" x14ac:dyDescent="0.2">
      <c r="A243" s="3">
        <v>44438</v>
      </c>
      <c r="B243">
        <v>10.934791669999999</v>
      </c>
      <c r="C243">
        <v>0</v>
      </c>
      <c r="D243">
        <v>20.104166670000001</v>
      </c>
      <c r="E243">
        <v>58.800495269999999</v>
      </c>
      <c r="F243">
        <v>8</v>
      </c>
    </row>
    <row r="244" spans="1:6" x14ac:dyDescent="0.2">
      <c r="A244" s="3">
        <v>44439</v>
      </c>
      <c r="B244">
        <v>11.3284375</v>
      </c>
      <c r="C244">
        <v>0</v>
      </c>
      <c r="D244">
        <v>20.766666669999999</v>
      </c>
      <c r="E244">
        <v>64.644578460000005</v>
      </c>
      <c r="F244">
        <v>7.9166666670000003</v>
      </c>
    </row>
    <row r="245" spans="1:6" x14ac:dyDescent="0.2">
      <c r="A245" s="3">
        <v>44440</v>
      </c>
      <c r="B245">
        <v>10.24583333</v>
      </c>
      <c r="C245">
        <v>0</v>
      </c>
      <c r="D245">
        <v>22.512499999999999</v>
      </c>
      <c r="E245">
        <v>59.194511089999999</v>
      </c>
      <c r="F245">
        <v>11.125</v>
      </c>
    </row>
    <row r="246" spans="1:6" x14ac:dyDescent="0.2">
      <c r="A246" s="3">
        <v>44441</v>
      </c>
      <c r="B246">
        <v>11.030208330000001</v>
      </c>
      <c r="C246">
        <v>0</v>
      </c>
      <c r="D246">
        <v>22.579166669999999</v>
      </c>
      <c r="E246">
        <v>49.726634769999997</v>
      </c>
      <c r="F246">
        <v>15.25</v>
      </c>
    </row>
    <row r="247" spans="1:6" x14ac:dyDescent="0.2">
      <c r="A247" s="3">
        <v>44442</v>
      </c>
      <c r="B247">
        <v>10.82697917</v>
      </c>
      <c r="C247">
        <v>0</v>
      </c>
      <c r="D247">
        <v>21.958333329999999</v>
      </c>
      <c r="E247">
        <v>56.309999619999999</v>
      </c>
      <c r="F247">
        <v>13.58333333</v>
      </c>
    </row>
    <row r="248" spans="1:6" x14ac:dyDescent="0.2">
      <c r="A248" s="3">
        <v>44443</v>
      </c>
      <c r="B248">
        <v>10.51447917</v>
      </c>
      <c r="C248">
        <v>0</v>
      </c>
      <c r="D248">
        <v>22.637499999999999</v>
      </c>
      <c r="E248">
        <v>56.289217659999998</v>
      </c>
      <c r="F248">
        <v>9.5416666669999994</v>
      </c>
    </row>
    <row r="249" spans="1:6" x14ac:dyDescent="0.2">
      <c r="A249" s="3">
        <v>44444</v>
      </c>
      <c r="B249">
        <v>9.9579166669999992</v>
      </c>
      <c r="C249">
        <v>0</v>
      </c>
      <c r="D249">
        <v>24.25</v>
      </c>
      <c r="E249">
        <v>43.25</v>
      </c>
      <c r="F249">
        <v>15.625</v>
      </c>
    </row>
    <row r="250" spans="1:6" x14ac:dyDescent="0.2">
      <c r="A250" s="3">
        <v>44445</v>
      </c>
      <c r="B250">
        <v>10.587653830000001</v>
      </c>
      <c r="C250">
        <v>0</v>
      </c>
      <c r="D250">
        <v>24.391666669999999</v>
      </c>
      <c r="E250">
        <v>42.25</v>
      </c>
      <c r="F250">
        <v>18.875</v>
      </c>
    </row>
    <row r="251" spans="1:6" x14ac:dyDescent="0.2">
      <c r="A251" s="3">
        <v>44446</v>
      </c>
      <c r="B251">
        <v>17.088125000000002</v>
      </c>
      <c r="C251">
        <v>0</v>
      </c>
      <c r="D251">
        <v>24.108333330000001</v>
      </c>
      <c r="E251">
        <v>41.208333330000002</v>
      </c>
      <c r="F251">
        <v>20.416666670000001</v>
      </c>
    </row>
    <row r="252" spans="1:6" x14ac:dyDescent="0.2">
      <c r="A252" s="3">
        <v>44447</v>
      </c>
      <c r="B252">
        <v>10.81273614</v>
      </c>
      <c r="C252">
        <v>0</v>
      </c>
      <c r="D252">
        <v>24.070833329999999</v>
      </c>
      <c r="E252">
        <v>40.5</v>
      </c>
      <c r="F252">
        <v>23.25</v>
      </c>
    </row>
    <row r="253" spans="1:6" x14ac:dyDescent="0.2">
      <c r="A253" s="3">
        <v>44448</v>
      </c>
      <c r="B253">
        <v>10.95520833</v>
      </c>
      <c r="C253">
        <v>0</v>
      </c>
      <c r="D253">
        <v>22.229166670000001</v>
      </c>
      <c r="E253">
        <v>48.416666669999998</v>
      </c>
      <c r="F253">
        <v>13</v>
      </c>
    </row>
    <row r="254" spans="1:6" x14ac:dyDescent="0.2">
      <c r="A254" s="3">
        <v>44449</v>
      </c>
      <c r="B254">
        <v>10.44416667</v>
      </c>
      <c r="C254">
        <v>0</v>
      </c>
      <c r="D254">
        <v>21.541666670000001</v>
      </c>
      <c r="E254">
        <v>58.047615829999998</v>
      </c>
      <c r="F254">
        <v>6.125</v>
      </c>
    </row>
    <row r="255" spans="1:6" x14ac:dyDescent="0.2">
      <c r="A255" s="3">
        <v>44450</v>
      </c>
      <c r="B255">
        <v>10.04572917</v>
      </c>
      <c r="C255">
        <v>0</v>
      </c>
      <c r="D255">
        <v>21.5625</v>
      </c>
      <c r="E255">
        <v>58.487319339999999</v>
      </c>
      <c r="F255">
        <v>5.125</v>
      </c>
    </row>
    <row r="256" spans="1:6" x14ac:dyDescent="0.2">
      <c r="A256" s="3">
        <v>44451</v>
      </c>
      <c r="B256">
        <v>10.15104167</v>
      </c>
      <c r="C256">
        <v>0</v>
      </c>
      <c r="D256">
        <v>24.125</v>
      </c>
      <c r="E256">
        <v>50.42729422</v>
      </c>
      <c r="F256">
        <v>11.5</v>
      </c>
    </row>
    <row r="257" spans="1:6" x14ac:dyDescent="0.2">
      <c r="A257" s="3">
        <v>44452</v>
      </c>
      <c r="B257">
        <v>10.848023420000001</v>
      </c>
      <c r="C257">
        <v>0</v>
      </c>
      <c r="D257">
        <v>24.108333330000001</v>
      </c>
      <c r="E257">
        <v>52.530404509999997</v>
      </c>
      <c r="F257">
        <v>5.5</v>
      </c>
    </row>
    <row r="258" spans="1:6" x14ac:dyDescent="0.2">
      <c r="A258" s="3">
        <v>44453</v>
      </c>
      <c r="B258">
        <v>11.197708329999999</v>
      </c>
      <c r="C258">
        <v>0</v>
      </c>
      <c r="D258">
        <v>23.466666669999999</v>
      </c>
      <c r="E258">
        <v>60.429053830000001</v>
      </c>
      <c r="F258">
        <v>4.2083333329999997</v>
      </c>
    </row>
    <row r="259" spans="1:6" x14ac:dyDescent="0.2">
      <c r="A259" s="3">
        <v>44454</v>
      </c>
      <c r="B259">
        <v>10.604687500000001</v>
      </c>
      <c r="C259">
        <v>0</v>
      </c>
      <c r="D259">
        <v>23.158333330000001</v>
      </c>
      <c r="E259">
        <v>65.447313980000004</v>
      </c>
      <c r="F259">
        <v>5.9583333329999997</v>
      </c>
    </row>
    <row r="260" spans="1:6" x14ac:dyDescent="0.2">
      <c r="A260" s="3">
        <v>44455</v>
      </c>
      <c r="B260">
        <v>10.52572917</v>
      </c>
      <c r="C260">
        <v>0.304166667</v>
      </c>
      <c r="D260">
        <v>23.262499999999999</v>
      </c>
      <c r="E260">
        <v>71.083333330000002</v>
      </c>
      <c r="F260">
        <v>10.45833333</v>
      </c>
    </row>
    <row r="261" spans="1:6" x14ac:dyDescent="0.2">
      <c r="A261" s="3">
        <v>44456</v>
      </c>
      <c r="B261">
        <v>10.715937500000001</v>
      </c>
      <c r="C261">
        <v>1.5</v>
      </c>
      <c r="D261">
        <v>21.033333330000001</v>
      </c>
      <c r="E261">
        <v>76.875</v>
      </c>
      <c r="F261">
        <v>12.29166667</v>
      </c>
    </row>
    <row r="262" spans="1:6" x14ac:dyDescent="0.2">
      <c r="A262" s="3">
        <v>44457</v>
      </c>
      <c r="B262">
        <v>10.36489583</v>
      </c>
      <c r="C262">
        <v>0</v>
      </c>
      <c r="D262">
        <v>21.0625</v>
      </c>
      <c r="E262">
        <v>62.458333330000002</v>
      </c>
      <c r="F262">
        <v>13.20833333</v>
      </c>
    </row>
    <row r="263" spans="1:6" x14ac:dyDescent="0.2">
      <c r="A263" s="3">
        <v>44458</v>
      </c>
      <c r="B263">
        <v>9.7414583330000006</v>
      </c>
      <c r="C263">
        <v>2.5000000000000001E-2</v>
      </c>
      <c r="D263">
        <v>21.50416667</v>
      </c>
      <c r="E263">
        <v>67.208333330000002</v>
      </c>
      <c r="F263">
        <v>8.875</v>
      </c>
    </row>
    <row r="264" spans="1:6" x14ac:dyDescent="0.2">
      <c r="A264" s="3">
        <v>44459</v>
      </c>
      <c r="B264">
        <v>10.82072917</v>
      </c>
      <c r="C264">
        <v>4.1666666999999998E-2</v>
      </c>
      <c r="D264">
        <v>18.858333330000001</v>
      </c>
      <c r="E264">
        <v>65</v>
      </c>
      <c r="F264">
        <v>28.625</v>
      </c>
    </row>
    <row r="265" spans="1:6" x14ac:dyDescent="0.2">
      <c r="A265" s="3">
        <v>44460</v>
      </c>
      <c r="B265">
        <v>12.053333329999999</v>
      </c>
      <c r="C265">
        <v>0</v>
      </c>
      <c r="D265">
        <v>18.779166669999999</v>
      </c>
      <c r="E265">
        <v>50.75</v>
      </c>
      <c r="F265">
        <v>24.958333329999999</v>
      </c>
    </row>
    <row r="266" spans="1:6" x14ac:dyDescent="0.2">
      <c r="A266" s="3">
        <v>44461</v>
      </c>
      <c r="B266">
        <v>10.836874999999999</v>
      </c>
      <c r="C266">
        <v>0</v>
      </c>
      <c r="D266">
        <v>18.212499999999999</v>
      </c>
      <c r="E266">
        <v>55.708333330000002</v>
      </c>
      <c r="F266">
        <v>12.04166667</v>
      </c>
    </row>
    <row r="267" spans="1:6" x14ac:dyDescent="0.2">
      <c r="A267" s="3">
        <v>44462</v>
      </c>
      <c r="B267">
        <v>10.835625</v>
      </c>
      <c r="C267">
        <v>0</v>
      </c>
      <c r="D267">
        <v>18.6875</v>
      </c>
      <c r="E267">
        <v>52.166666669999998</v>
      </c>
      <c r="F267">
        <v>9.125</v>
      </c>
    </row>
    <row r="268" spans="1:6" x14ac:dyDescent="0.2">
      <c r="A268" s="3">
        <v>44463</v>
      </c>
      <c r="B268">
        <v>10.506562499999999</v>
      </c>
      <c r="C268">
        <v>0</v>
      </c>
      <c r="D268">
        <v>19.604166670000001</v>
      </c>
      <c r="E268">
        <v>65.875</v>
      </c>
      <c r="F268">
        <v>6.4166666670000003</v>
      </c>
    </row>
    <row r="269" spans="1:6" x14ac:dyDescent="0.2">
      <c r="A269" s="3">
        <v>44464</v>
      </c>
      <c r="B269">
        <v>10.15416667</v>
      </c>
      <c r="C269">
        <v>0</v>
      </c>
      <c r="D269">
        <v>20.454166669999999</v>
      </c>
      <c r="E269">
        <v>70.458333330000002</v>
      </c>
      <c r="F269">
        <v>6.2083333329999997</v>
      </c>
    </row>
    <row r="270" spans="1:6" x14ac:dyDescent="0.2">
      <c r="A270" s="3">
        <v>44465</v>
      </c>
      <c r="B270">
        <v>9.6842708329999994</v>
      </c>
      <c r="C270">
        <v>0.125</v>
      </c>
      <c r="D270">
        <v>20.766666669999999</v>
      </c>
      <c r="E270">
        <v>80.416666669999998</v>
      </c>
      <c r="F270">
        <v>6.5416666670000003</v>
      </c>
    </row>
    <row r="271" spans="1:6" x14ac:dyDescent="0.2">
      <c r="A271" s="3">
        <v>44466</v>
      </c>
      <c r="B271">
        <v>10.671354170000001</v>
      </c>
      <c r="C271">
        <v>8.3333330000000001E-3</v>
      </c>
      <c r="D271">
        <v>20.762499999999999</v>
      </c>
      <c r="E271">
        <v>80.833333330000002</v>
      </c>
      <c r="F271">
        <v>8.5416666669999994</v>
      </c>
    </row>
    <row r="272" spans="1:6" x14ac:dyDescent="0.2">
      <c r="A272" s="3">
        <v>44467</v>
      </c>
      <c r="B272">
        <v>11.11489583</v>
      </c>
      <c r="C272">
        <v>0</v>
      </c>
      <c r="D272">
        <v>21.333333329999999</v>
      </c>
      <c r="E272">
        <v>77.5</v>
      </c>
      <c r="F272">
        <v>5.5416666670000003</v>
      </c>
    </row>
    <row r="273" spans="1:6" x14ac:dyDescent="0.2">
      <c r="A273" s="3">
        <v>44468</v>
      </c>
      <c r="B273">
        <v>10.8103125</v>
      </c>
      <c r="C273">
        <v>0</v>
      </c>
      <c r="D273">
        <v>22.070833329999999</v>
      </c>
      <c r="E273">
        <v>63.830276699999999</v>
      </c>
      <c r="F273">
        <v>7</v>
      </c>
    </row>
    <row r="274" spans="1:6" x14ac:dyDescent="0.2">
      <c r="A274" s="3">
        <v>44469</v>
      </c>
      <c r="B274">
        <v>10.77302083</v>
      </c>
      <c r="C274">
        <v>1.6666667E-2</v>
      </c>
      <c r="D274">
        <v>20.12083333</v>
      </c>
      <c r="E274">
        <v>56.125</v>
      </c>
      <c r="F274">
        <v>37.5</v>
      </c>
    </row>
    <row r="275" spans="1:6" x14ac:dyDescent="0.2">
      <c r="A275" s="3">
        <v>44470</v>
      </c>
      <c r="B275">
        <v>10.556875</v>
      </c>
      <c r="C275">
        <v>0</v>
      </c>
      <c r="D275">
        <v>18.429166670000001</v>
      </c>
      <c r="E275">
        <v>54.290240269999998</v>
      </c>
      <c r="F275">
        <v>19.708333329999999</v>
      </c>
    </row>
    <row r="276" spans="1:6" x14ac:dyDescent="0.2">
      <c r="A276" s="3">
        <v>44471</v>
      </c>
      <c r="B276">
        <v>9.9732291669999995</v>
      </c>
      <c r="C276">
        <v>0</v>
      </c>
      <c r="D276">
        <v>18.045833330000001</v>
      </c>
      <c r="E276">
        <v>61.166666669999998</v>
      </c>
      <c r="F276">
        <v>9.4583333330000006</v>
      </c>
    </row>
    <row r="277" spans="1:6" x14ac:dyDescent="0.2">
      <c r="A277" s="3">
        <v>44472</v>
      </c>
      <c r="B277">
        <v>9.1103124999999991</v>
      </c>
      <c r="C277">
        <v>0.27083333300000001</v>
      </c>
      <c r="D277">
        <v>19.391666669999999</v>
      </c>
      <c r="E277">
        <v>76.208333330000002</v>
      </c>
      <c r="F277">
        <v>8.7083333330000006</v>
      </c>
    </row>
    <row r="278" spans="1:6" x14ac:dyDescent="0.2">
      <c r="A278" s="3">
        <v>44473</v>
      </c>
      <c r="B278">
        <v>10.14864583</v>
      </c>
      <c r="C278">
        <v>0</v>
      </c>
      <c r="D278">
        <v>21.574999999999999</v>
      </c>
      <c r="E278">
        <v>72.208267980000002</v>
      </c>
      <c r="F278">
        <v>12.66666667</v>
      </c>
    </row>
    <row r="279" spans="1:6" x14ac:dyDescent="0.2">
      <c r="A279" s="3">
        <v>44474</v>
      </c>
      <c r="B279">
        <v>10.59888187</v>
      </c>
      <c r="C279">
        <v>6.6666666999999999E-2</v>
      </c>
      <c r="D279">
        <v>21.608333330000001</v>
      </c>
      <c r="E279">
        <v>70.083333330000002</v>
      </c>
      <c r="F279">
        <v>16.958333329999999</v>
      </c>
    </row>
    <row r="280" spans="1:6" x14ac:dyDescent="0.2">
      <c r="A280" s="3">
        <v>44475</v>
      </c>
      <c r="B280">
        <v>9.9206249999999994</v>
      </c>
      <c r="C280">
        <v>1.441666667</v>
      </c>
      <c r="D280">
        <v>17.975000000000001</v>
      </c>
      <c r="E280">
        <v>73.916666669999998</v>
      </c>
      <c r="F280">
        <v>19.416666670000001</v>
      </c>
    </row>
    <row r="281" spans="1:6" x14ac:dyDescent="0.2">
      <c r="A281" s="3">
        <v>44476</v>
      </c>
      <c r="B281">
        <v>10.334687499999999</v>
      </c>
      <c r="C281">
        <v>1.2500000000000001E-2</v>
      </c>
      <c r="D281">
        <v>16.170833330000001</v>
      </c>
      <c r="E281">
        <v>60.416666669999998</v>
      </c>
      <c r="F281">
        <v>38.833333330000002</v>
      </c>
    </row>
    <row r="282" spans="1:6" x14ac:dyDescent="0.2">
      <c r="A282" s="3">
        <v>44477</v>
      </c>
      <c r="B282">
        <v>10.371874999999999</v>
      </c>
      <c r="C282">
        <v>4.5833332999999997E-2</v>
      </c>
      <c r="D282">
        <v>16.166666670000001</v>
      </c>
      <c r="E282">
        <v>60.916666669999998</v>
      </c>
      <c r="F282">
        <v>41.583333330000002</v>
      </c>
    </row>
    <row r="283" spans="1:6" x14ac:dyDescent="0.2">
      <c r="A283" s="3">
        <v>44478</v>
      </c>
      <c r="B283">
        <v>9.5951041670000006</v>
      </c>
      <c r="C283">
        <v>4.1666669999999998E-3</v>
      </c>
      <c r="D283">
        <v>14.9</v>
      </c>
      <c r="E283">
        <v>52.833333330000002</v>
      </c>
      <c r="F283">
        <v>30.375</v>
      </c>
    </row>
    <row r="284" spans="1:6" x14ac:dyDescent="0.2">
      <c r="A284" s="3">
        <v>44479</v>
      </c>
      <c r="B284">
        <v>9.4603125000000006</v>
      </c>
      <c r="C284">
        <v>0</v>
      </c>
      <c r="D284">
        <v>12.87083333</v>
      </c>
      <c r="E284">
        <v>52.791666669999998</v>
      </c>
      <c r="F284">
        <v>27.958333329999999</v>
      </c>
    </row>
    <row r="285" spans="1:6" x14ac:dyDescent="0.2">
      <c r="A285" s="3">
        <v>44480</v>
      </c>
      <c r="B285">
        <v>10.159270830000001</v>
      </c>
      <c r="C285">
        <v>0</v>
      </c>
      <c r="D285">
        <v>14.887499999999999</v>
      </c>
      <c r="E285">
        <v>56.383329269999997</v>
      </c>
      <c r="F285">
        <v>20.833333329999999</v>
      </c>
    </row>
    <row r="286" spans="1:6" x14ac:dyDescent="0.2">
      <c r="A286" s="3">
        <v>44481</v>
      </c>
      <c r="B286">
        <v>11.053854169999999</v>
      </c>
      <c r="C286">
        <v>0</v>
      </c>
      <c r="D286">
        <v>14.875</v>
      </c>
      <c r="E286">
        <v>49.291666669999998</v>
      </c>
      <c r="F286">
        <v>11.70833333</v>
      </c>
    </row>
    <row r="287" spans="1:6" x14ac:dyDescent="0.2">
      <c r="A287" s="3">
        <v>44482</v>
      </c>
      <c r="B287">
        <v>10.389791669999999</v>
      </c>
      <c r="C287">
        <v>0</v>
      </c>
      <c r="D287">
        <v>14.04166667</v>
      </c>
      <c r="E287">
        <v>51</v>
      </c>
      <c r="F287">
        <v>19.5</v>
      </c>
    </row>
    <row r="288" spans="1:6" x14ac:dyDescent="0.2">
      <c r="A288" s="3">
        <v>44483</v>
      </c>
      <c r="B288">
        <v>10.33229167</v>
      </c>
      <c r="C288">
        <v>0</v>
      </c>
      <c r="D288">
        <v>13.116666670000001</v>
      </c>
      <c r="E288">
        <v>48.416666669999998</v>
      </c>
      <c r="F288">
        <v>23.541666670000001</v>
      </c>
    </row>
    <row r="289" spans="1:6" x14ac:dyDescent="0.2">
      <c r="A289" s="3">
        <v>44484</v>
      </c>
      <c r="B289">
        <v>9.3716666669999995</v>
      </c>
      <c r="C289">
        <v>0</v>
      </c>
      <c r="D289">
        <v>14.19166667</v>
      </c>
      <c r="E289">
        <v>48.625</v>
      </c>
      <c r="F289">
        <v>21.083333329999999</v>
      </c>
    </row>
    <row r="290" spans="1:6" x14ac:dyDescent="0.2">
      <c r="A290" s="3">
        <v>44485</v>
      </c>
      <c r="B290">
        <v>7.1011605209999997</v>
      </c>
      <c r="C290">
        <v>0</v>
      </c>
      <c r="D290">
        <v>16.112500000000001</v>
      </c>
      <c r="E290">
        <v>52.493137650000001</v>
      </c>
      <c r="F290">
        <v>26.416666670000001</v>
      </c>
    </row>
    <row r="291" spans="1:6" x14ac:dyDescent="0.2">
      <c r="A291" s="3">
        <v>44486</v>
      </c>
      <c r="B291">
        <v>6.1875</v>
      </c>
      <c r="C291">
        <v>0</v>
      </c>
      <c r="D291">
        <v>15.820833329999999</v>
      </c>
      <c r="E291">
        <v>58.373283440000002</v>
      </c>
      <c r="F291">
        <v>13.45833333</v>
      </c>
    </row>
    <row r="292" spans="1:6" x14ac:dyDescent="0.2">
      <c r="A292" s="3">
        <v>44487</v>
      </c>
      <c r="B292">
        <v>6.9477083329999996</v>
      </c>
      <c r="C292">
        <v>0</v>
      </c>
      <c r="D292">
        <v>15.20833333</v>
      </c>
      <c r="E292">
        <v>61.027777780000001</v>
      </c>
      <c r="F292">
        <v>5.9166666670000003</v>
      </c>
    </row>
    <row r="293" spans="1:6" x14ac:dyDescent="0.2">
      <c r="A293" s="3">
        <v>44488</v>
      </c>
      <c r="B293">
        <v>7.4544791669999997</v>
      </c>
      <c r="C293">
        <v>0</v>
      </c>
      <c r="D293">
        <v>15.258333329999999</v>
      </c>
      <c r="E293">
        <v>64.629464290000001</v>
      </c>
      <c r="F293">
        <v>4.9583333329999997</v>
      </c>
    </row>
    <row r="294" spans="1:6" x14ac:dyDescent="0.2">
      <c r="A294" s="3">
        <v>44489</v>
      </c>
      <c r="B294">
        <v>8.9844791669999999</v>
      </c>
      <c r="C294">
        <v>0</v>
      </c>
      <c r="D294">
        <v>15.37083333</v>
      </c>
      <c r="E294">
        <v>74.458333330000002</v>
      </c>
      <c r="F294">
        <v>7.0833333329999997</v>
      </c>
    </row>
    <row r="295" spans="1:6" x14ac:dyDescent="0.2">
      <c r="A295" s="3">
        <v>44490</v>
      </c>
      <c r="B295">
        <v>11.067291669999999</v>
      </c>
      <c r="C295">
        <v>2.5000000000000001E-2</v>
      </c>
      <c r="D295">
        <v>17.079166669999999</v>
      </c>
      <c r="E295">
        <v>74.375</v>
      </c>
      <c r="F295">
        <v>14.70833333</v>
      </c>
    </row>
    <row r="296" spans="1:6" x14ac:dyDescent="0.2">
      <c r="A296" s="3">
        <v>44491</v>
      </c>
      <c r="B296">
        <v>13.64</v>
      </c>
      <c r="C296">
        <v>0</v>
      </c>
      <c r="D296">
        <v>17.491666670000001</v>
      </c>
      <c r="E296">
        <v>81.5</v>
      </c>
      <c r="F296">
        <v>7.5416666670000003</v>
      </c>
    </row>
    <row r="297" spans="1:6" x14ac:dyDescent="0.2">
      <c r="A297" s="3">
        <v>44492</v>
      </c>
      <c r="B297">
        <v>11.97635417</v>
      </c>
      <c r="C297">
        <v>4.1666669999999998E-3</v>
      </c>
      <c r="D297">
        <v>15.925000000000001</v>
      </c>
      <c r="E297">
        <v>64.708333330000002</v>
      </c>
      <c r="F297">
        <v>23.541666670000001</v>
      </c>
    </row>
    <row r="298" spans="1:6" x14ac:dyDescent="0.2">
      <c r="A298" s="3">
        <v>44493</v>
      </c>
      <c r="B298">
        <v>9.2776041669999998</v>
      </c>
      <c r="C298">
        <v>0</v>
      </c>
      <c r="D298">
        <v>13.65833333</v>
      </c>
      <c r="E298">
        <v>53.083333330000002</v>
      </c>
      <c r="F298">
        <v>35.166666669999998</v>
      </c>
    </row>
    <row r="299" spans="1:6" x14ac:dyDescent="0.2">
      <c r="A299" s="3">
        <v>44494</v>
      </c>
      <c r="B299">
        <v>9.3358333330000001</v>
      </c>
      <c r="C299">
        <v>0</v>
      </c>
      <c r="D299">
        <v>13.054166670000001</v>
      </c>
      <c r="E299">
        <v>47.208333330000002</v>
      </c>
      <c r="F299">
        <v>26.5</v>
      </c>
    </row>
    <row r="300" spans="1:6" x14ac:dyDescent="0.2">
      <c r="A300" s="3">
        <v>44495</v>
      </c>
      <c r="B300">
        <v>10.32447917</v>
      </c>
      <c r="C300">
        <v>0</v>
      </c>
      <c r="D300">
        <v>13.72916667</v>
      </c>
      <c r="E300">
        <v>51.354166669999998</v>
      </c>
      <c r="F300">
        <v>9.375</v>
      </c>
    </row>
    <row r="301" spans="1:6" x14ac:dyDescent="0.2">
      <c r="A301" s="3">
        <v>44496</v>
      </c>
      <c r="B301">
        <v>9.6210416670000001</v>
      </c>
      <c r="C301">
        <v>0</v>
      </c>
      <c r="D301">
        <v>15.612500000000001</v>
      </c>
      <c r="E301">
        <v>52.291666669999998</v>
      </c>
      <c r="F301">
        <v>19.5</v>
      </c>
    </row>
    <row r="302" spans="1:6" x14ac:dyDescent="0.2">
      <c r="A302" s="3">
        <v>44497</v>
      </c>
      <c r="B302">
        <v>8.9867708329999996</v>
      </c>
      <c r="C302">
        <v>0</v>
      </c>
      <c r="D302">
        <v>14.97083333</v>
      </c>
      <c r="E302">
        <v>57.559399339999999</v>
      </c>
      <c r="F302">
        <v>20.125</v>
      </c>
    </row>
    <row r="303" spans="1:6" x14ac:dyDescent="0.2">
      <c r="A303" s="3">
        <v>44498</v>
      </c>
      <c r="B303">
        <v>8.9558333329999993</v>
      </c>
      <c r="C303">
        <v>0</v>
      </c>
      <c r="D303">
        <v>13.954166669999999</v>
      </c>
      <c r="E303">
        <v>55.791666669999998</v>
      </c>
      <c r="F303">
        <v>12.91666667</v>
      </c>
    </row>
    <row r="304" spans="1:6" x14ac:dyDescent="0.2">
      <c r="A304" s="3">
        <v>44499</v>
      </c>
      <c r="B304">
        <v>7.2179166669999999</v>
      </c>
      <c r="C304">
        <v>0</v>
      </c>
      <c r="D304">
        <v>13.87083333</v>
      </c>
      <c r="E304">
        <v>66.833333330000002</v>
      </c>
      <c r="F304">
        <v>5.0416666670000003</v>
      </c>
    </row>
    <row r="305" spans="1:6" x14ac:dyDescent="0.2">
      <c r="A305" s="3">
        <v>44500</v>
      </c>
      <c r="B305">
        <v>8.4151000000000007</v>
      </c>
      <c r="C305">
        <v>0</v>
      </c>
      <c r="D305">
        <v>14.16</v>
      </c>
      <c r="E305">
        <v>75</v>
      </c>
      <c r="F305">
        <v>4.92</v>
      </c>
    </row>
    <row r="306" spans="1:6" x14ac:dyDescent="0.2">
      <c r="A306" s="3">
        <v>44501</v>
      </c>
      <c r="B306">
        <v>8.0183333329999993</v>
      </c>
      <c r="C306">
        <v>0.21249999999999999</v>
      </c>
      <c r="D306">
        <v>14.71666667</v>
      </c>
      <c r="E306">
        <v>78</v>
      </c>
      <c r="F306">
        <v>11.58333333</v>
      </c>
    </row>
    <row r="307" spans="1:6" x14ac:dyDescent="0.2">
      <c r="A307" s="3">
        <v>44502</v>
      </c>
      <c r="B307">
        <v>9.024983443</v>
      </c>
      <c r="C307">
        <v>5.8333333000000001E-2</v>
      </c>
      <c r="D307">
        <v>14.2875</v>
      </c>
      <c r="E307">
        <v>76.482537480000005</v>
      </c>
      <c r="F307">
        <v>14.91666667</v>
      </c>
    </row>
    <row r="308" spans="1:6" x14ac:dyDescent="0.2">
      <c r="A308" s="3">
        <v>44503</v>
      </c>
      <c r="B308">
        <v>8.6299265839999997</v>
      </c>
      <c r="C308">
        <v>0.1125</v>
      </c>
      <c r="D308">
        <v>16.095833330000001</v>
      </c>
      <c r="E308">
        <v>76.125</v>
      </c>
      <c r="F308">
        <v>12.375</v>
      </c>
    </row>
    <row r="309" spans="1:6" x14ac:dyDescent="0.2">
      <c r="A309" s="3">
        <v>44504</v>
      </c>
      <c r="B309">
        <v>9.4106249999999996</v>
      </c>
      <c r="C309">
        <v>7.4999999999999997E-2</v>
      </c>
      <c r="D309">
        <v>16.12916667</v>
      </c>
      <c r="E309">
        <v>67.541666669999998</v>
      </c>
      <c r="F309">
        <v>19.208333329999999</v>
      </c>
    </row>
    <row r="310" spans="1:6" x14ac:dyDescent="0.2">
      <c r="A310" s="3">
        <v>44505</v>
      </c>
      <c r="B310">
        <v>8.7707291670000007</v>
      </c>
      <c r="C310">
        <v>0</v>
      </c>
      <c r="D310">
        <v>13.179166670000001</v>
      </c>
      <c r="E310">
        <v>64.416666669999998</v>
      </c>
      <c r="F310">
        <v>27.583333329999999</v>
      </c>
    </row>
    <row r="311" spans="1:6" x14ac:dyDescent="0.2">
      <c r="A311" s="3">
        <v>44506</v>
      </c>
      <c r="B311">
        <v>8.5211458330000003</v>
      </c>
      <c r="C311">
        <v>0</v>
      </c>
      <c r="D311">
        <v>13.025</v>
      </c>
      <c r="E311">
        <v>55.291666669999998</v>
      </c>
      <c r="F311">
        <v>50.041666669999998</v>
      </c>
    </row>
    <row r="312" spans="1:6" x14ac:dyDescent="0.2">
      <c r="A312" s="3">
        <v>44507</v>
      </c>
      <c r="B312">
        <v>8.4489583330000002</v>
      </c>
      <c r="C312">
        <v>0</v>
      </c>
      <c r="D312">
        <v>13.08333333</v>
      </c>
      <c r="E312">
        <v>68.625</v>
      </c>
      <c r="F312">
        <v>12.16666667</v>
      </c>
    </row>
    <row r="313" spans="1:6" x14ac:dyDescent="0.2">
      <c r="A313" s="3">
        <v>44508</v>
      </c>
      <c r="B313">
        <v>9.7651041670000005</v>
      </c>
      <c r="C313">
        <v>4.5833332999999997E-2</v>
      </c>
      <c r="D313">
        <v>12.70833333</v>
      </c>
      <c r="E313">
        <v>67.875</v>
      </c>
      <c r="F313">
        <v>39.708333330000002</v>
      </c>
    </row>
    <row r="314" spans="1:6" x14ac:dyDescent="0.2">
      <c r="A314" s="3">
        <v>44509</v>
      </c>
      <c r="B314">
        <v>9.5054166670000004</v>
      </c>
      <c r="C314">
        <v>1.2500000000000001E-2</v>
      </c>
      <c r="D314">
        <v>12.6625</v>
      </c>
      <c r="E314">
        <v>56.083333330000002</v>
      </c>
      <c r="F314">
        <v>45.708333330000002</v>
      </c>
    </row>
    <row r="315" spans="1:6" x14ac:dyDescent="0.2">
      <c r="A315" s="3">
        <v>44510</v>
      </c>
      <c r="B315">
        <v>8.8637499999999996</v>
      </c>
      <c r="C315">
        <v>0</v>
      </c>
      <c r="D315">
        <v>13.9375</v>
      </c>
      <c r="E315">
        <v>58.416666669999998</v>
      </c>
      <c r="F315">
        <v>18.041666670000001</v>
      </c>
    </row>
    <row r="316" spans="1:6" x14ac:dyDescent="0.2">
      <c r="A316" s="3">
        <v>44511</v>
      </c>
      <c r="B316">
        <v>8.8621874999999992</v>
      </c>
      <c r="C316">
        <v>0</v>
      </c>
      <c r="D316">
        <v>13.90833333</v>
      </c>
      <c r="E316">
        <v>74.958333330000002</v>
      </c>
      <c r="F316">
        <v>4.1666666670000003</v>
      </c>
    </row>
    <row r="317" spans="1:6" x14ac:dyDescent="0.2">
      <c r="A317" s="3">
        <v>44512</v>
      </c>
      <c r="B317">
        <v>8.6568749999999994</v>
      </c>
      <c r="C317">
        <v>0</v>
      </c>
      <c r="D317">
        <v>14.054166670000001</v>
      </c>
      <c r="E317">
        <v>81.375</v>
      </c>
      <c r="F317">
        <v>4.875</v>
      </c>
    </row>
    <row r="318" spans="1:6" x14ac:dyDescent="0.2">
      <c r="A318" s="3">
        <v>44513</v>
      </c>
      <c r="B318">
        <v>8.1029166670000006</v>
      </c>
      <c r="C318">
        <v>0</v>
      </c>
      <c r="D318">
        <v>14.3375</v>
      </c>
      <c r="E318">
        <v>83.708333330000002</v>
      </c>
      <c r="F318">
        <v>4.75</v>
      </c>
    </row>
    <row r="319" spans="1:6" x14ac:dyDescent="0.2">
      <c r="A319" s="3">
        <v>44514</v>
      </c>
      <c r="B319">
        <v>8.1305208330000003</v>
      </c>
      <c r="C319">
        <v>4.1666669999999998E-3</v>
      </c>
      <c r="D319">
        <v>14.179166670000001</v>
      </c>
      <c r="E319">
        <v>69.458333330000002</v>
      </c>
      <c r="F319">
        <v>23.458333329999999</v>
      </c>
    </row>
    <row r="320" spans="1:6" x14ac:dyDescent="0.2">
      <c r="A320" s="3">
        <v>44515</v>
      </c>
      <c r="B320">
        <v>8.9336458329999999</v>
      </c>
      <c r="C320">
        <v>8.3333330000000001E-3</v>
      </c>
      <c r="D320">
        <v>12.60416667</v>
      </c>
      <c r="E320">
        <v>65.333333330000002</v>
      </c>
      <c r="F320">
        <v>50.041666669999998</v>
      </c>
    </row>
    <row r="321" spans="1:6" x14ac:dyDescent="0.2">
      <c r="A321" s="3">
        <v>44516</v>
      </c>
      <c r="B321">
        <v>9.0366666670000004</v>
      </c>
      <c r="C321">
        <v>1.6666667E-2</v>
      </c>
      <c r="D321">
        <v>11.95833333</v>
      </c>
      <c r="E321">
        <v>63.333333330000002</v>
      </c>
      <c r="F321">
        <v>47.916666669999998</v>
      </c>
    </row>
    <row r="322" spans="1:6" x14ac:dyDescent="0.2">
      <c r="A322" s="3">
        <v>44517</v>
      </c>
      <c r="B322">
        <v>7.9947916670000003</v>
      </c>
      <c r="C322">
        <v>4.1666669999999998E-3</v>
      </c>
      <c r="D322">
        <v>13.65833333</v>
      </c>
      <c r="E322">
        <v>64.083333330000002</v>
      </c>
      <c r="F322">
        <v>16.75</v>
      </c>
    </row>
    <row r="323" spans="1:6" x14ac:dyDescent="0.2">
      <c r="A323" s="3">
        <v>44518</v>
      </c>
      <c r="B323">
        <v>7.5807291670000003</v>
      </c>
      <c r="C323">
        <v>0</v>
      </c>
      <c r="D323">
        <v>12.65416667</v>
      </c>
      <c r="E323">
        <v>59.666666669999998</v>
      </c>
      <c r="F323">
        <v>28.25</v>
      </c>
    </row>
    <row r="324" spans="1:6" x14ac:dyDescent="0.2">
      <c r="A324" s="3">
        <v>44519</v>
      </c>
      <c r="B324">
        <v>8.1028125000000006</v>
      </c>
      <c r="C324">
        <v>0</v>
      </c>
      <c r="D324">
        <v>12.170833330000001</v>
      </c>
      <c r="E324">
        <v>60.541666669999998</v>
      </c>
      <c r="F324">
        <v>7</v>
      </c>
    </row>
    <row r="325" spans="1:6" x14ac:dyDescent="0.2">
      <c r="A325" s="3">
        <v>44520</v>
      </c>
      <c r="B325">
        <v>7.5052083329999997</v>
      </c>
      <c r="C325">
        <v>0</v>
      </c>
      <c r="D325">
        <v>10</v>
      </c>
      <c r="E325">
        <v>84.5</v>
      </c>
      <c r="F325">
        <v>5.375</v>
      </c>
    </row>
    <row r="326" spans="1:6" x14ac:dyDescent="0.2">
      <c r="A326" s="3">
        <v>44521</v>
      </c>
      <c r="B326">
        <v>7.240643113</v>
      </c>
      <c r="C326">
        <v>0</v>
      </c>
      <c r="D326">
        <v>10.40833333</v>
      </c>
      <c r="E326">
        <v>81.354166669999998</v>
      </c>
      <c r="F326">
        <v>8.25</v>
      </c>
    </row>
    <row r="327" spans="1:6" x14ac:dyDescent="0.2">
      <c r="A327" s="3">
        <v>44522</v>
      </c>
      <c r="B327">
        <v>8.2437500000000004</v>
      </c>
      <c r="C327">
        <v>0</v>
      </c>
      <c r="D327">
        <v>12.525</v>
      </c>
      <c r="E327">
        <v>69.333333330000002</v>
      </c>
      <c r="F327">
        <v>26.416666670000001</v>
      </c>
    </row>
    <row r="328" spans="1:6" x14ac:dyDescent="0.2">
      <c r="A328" s="3">
        <v>44523</v>
      </c>
      <c r="B328">
        <v>8.1355208329999993</v>
      </c>
      <c r="C328">
        <v>0</v>
      </c>
      <c r="D328">
        <v>10.820833329999999</v>
      </c>
      <c r="E328">
        <v>54.125</v>
      </c>
      <c r="F328">
        <v>44.5</v>
      </c>
    </row>
    <row r="329" spans="1:6" x14ac:dyDescent="0.2">
      <c r="A329" s="3">
        <v>44524</v>
      </c>
      <c r="B329">
        <v>7.1407291669999999</v>
      </c>
      <c r="C329">
        <v>0</v>
      </c>
      <c r="D329">
        <v>9.0416666669999994</v>
      </c>
      <c r="E329">
        <v>44</v>
      </c>
      <c r="F329">
        <v>28.791666670000001</v>
      </c>
    </row>
    <row r="330" spans="1:6" x14ac:dyDescent="0.2">
      <c r="A330" s="3">
        <v>44525</v>
      </c>
      <c r="B330">
        <v>7.2102083329999997</v>
      </c>
      <c r="C330">
        <v>0.241666667</v>
      </c>
      <c r="D330">
        <v>10.225</v>
      </c>
      <c r="E330">
        <v>68.337670070000001</v>
      </c>
      <c r="F330">
        <v>5.8333333329999997</v>
      </c>
    </row>
    <row r="331" spans="1:6" x14ac:dyDescent="0.2">
      <c r="A331" s="3">
        <v>44526</v>
      </c>
      <c r="B331">
        <v>6.9840625000000003</v>
      </c>
      <c r="C331">
        <v>0.445833333</v>
      </c>
      <c r="D331">
        <v>11.05833333</v>
      </c>
      <c r="E331">
        <v>85.447697419999997</v>
      </c>
      <c r="F331">
        <v>11.41666667</v>
      </c>
    </row>
    <row r="332" spans="1:6" x14ac:dyDescent="0.2">
      <c r="A332" s="3">
        <v>44527</v>
      </c>
      <c r="B332">
        <v>5.9920833330000001</v>
      </c>
      <c r="C332">
        <v>0.195833333</v>
      </c>
      <c r="D332">
        <v>11.94166667</v>
      </c>
      <c r="E332">
        <v>74.75</v>
      </c>
      <c r="F332">
        <v>15.375</v>
      </c>
    </row>
    <row r="333" spans="1:6" x14ac:dyDescent="0.2">
      <c r="A333" s="3">
        <v>44528</v>
      </c>
      <c r="B333">
        <v>6.5125000000000002</v>
      </c>
      <c r="C333">
        <v>0.52916666700000003</v>
      </c>
      <c r="D333">
        <v>10.133333329999999</v>
      </c>
      <c r="E333">
        <v>79.041666669999998</v>
      </c>
      <c r="F333">
        <v>12.83333333</v>
      </c>
    </row>
    <row r="334" spans="1:6" x14ac:dyDescent="0.2">
      <c r="A334" s="3">
        <v>44529</v>
      </c>
      <c r="B334">
        <v>7.7784221230000004</v>
      </c>
      <c r="C334">
        <v>0.12916666700000001</v>
      </c>
      <c r="D334">
        <v>7.0541666669999996</v>
      </c>
      <c r="E334">
        <v>66.375</v>
      </c>
      <c r="F334">
        <v>28.791666670000001</v>
      </c>
    </row>
    <row r="335" spans="1:6" x14ac:dyDescent="0.2">
      <c r="A335" s="3">
        <v>44530</v>
      </c>
      <c r="B335">
        <v>7.727604167</v>
      </c>
      <c r="C335">
        <v>0</v>
      </c>
      <c r="D335">
        <v>7.1791666669999996</v>
      </c>
      <c r="E335">
        <v>53.833333330000002</v>
      </c>
      <c r="F335">
        <v>11.375</v>
      </c>
    </row>
    <row r="336" spans="1:6" x14ac:dyDescent="0.2">
      <c r="A336" s="3">
        <v>44531</v>
      </c>
      <c r="B336">
        <v>7.7104166669999996</v>
      </c>
      <c r="C336">
        <v>6.25E-2</v>
      </c>
      <c r="D336">
        <v>10.008333329999999</v>
      </c>
      <c r="E336">
        <v>69.083333330000002</v>
      </c>
      <c r="F336">
        <v>10.04166667</v>
      </c>
    </row>
    <row r="337" spans="1:6" x14ac:dyDescent="0.2">
      <c r="A337" s="3">
        <v>44532</v>
      </c>
      <c r="B337">
        <v>6.6445833329999999</v>
      </c>
      <c r="C337">
        <v>0.77916666700000003</v>
      </c>
      <c r="D337">
        <v>9.7791666670000001</v>
      </c>
      <c r="E337">
        <v>85.848684649999996</v>
      </c>
      <c r="F337">
        <v>14.29166667</v>
      </c>
    </row>
    <row r="338" spans="1:6" x14ac:dyDescent="0.2">
      <c r="A338" s="3">
        <v>44533</v>
      </c>
      <c r="B338">
        <v>7.1712499999999997</v>
      </c>
      <c r="C338">
        <v>4.1666669999999998E-3</v>
      </c>
      <c r="D338">
        <v>8.7083333330000006</v>
      </c>
      <c r="E338">
        <v>60.166666669999998</v>
      </c>
      <c r="F338">
        <v>30.25</v>
      </c>
    </row>
    <row r="339" spans="1:6" x14ac:dyDescent="0.2">
      <c r="A339" s="3">
        <v>44534</v>
      </c>
      <c r="B339">
        <v>6.3207291669999996</v>
      </c>
      <c r="C339">
        <v>9.5833333000000007E-2</v>
      </c>
      <c r="D339">
        <v>7.1916666669999998</v>
      </c>
      <c r="E339">
        <v>57.875</v>
      </c>
      <c r="F339">
        <v>9.1666666669999994</v>
      </c>
    </row>
    <row r="340" spans="1:6" x14ac:dyDescent="0.2">
      <c r="A340" s="3">
        <v>44535</v>
      </c>
      <c r="B340">
        <v>6.0954166670000003</v>
      </c>
      <c r="C340">
        <v>0.29583333299999998</v>
      </c>
      <c r="D340">
        <v>8.0583333330000002</v>
      </c>
      <c r="E340">
        <v>85</v>
      </c>
      <c r="F340">
        <v>14.625</v>
      </c>
    </row>
    <row r="341" spans="1:6" x14ac:dyDescent="0.2">
      <c r="A341" s="3">
        <v>44536</v>
      </c>
      <c r="B341">
        <v>7.5504166670000004</v>
      </c>
      <c r="C341">
        <v>0</v>
      </c>
      <c r="D341">
        <v>8.0875000000000004</v>
      </c>
      <c r="E341">
        <v>59.498301779999998</v>
      </c>
      <c r="F341">
        <v>32.25</v>
      </c>
    </row>
    <row r="342" spans="1:6" x14ac:dyDescent="0.2">
      <c r="A342" s="3">
        <v>44537</v>
      </c>
      <c r="B342">
        <v>7.5676041669999998</v>
      </c>
      <c r="C342">
        <v>0</v>
      </c>
      <c r="D342">
        <v>6.375</v>
      </c>
      <c r="E342">
        <v>54.194957350000003</v>
      </c>
      <c r="F342">
        <v>10.73611111</v>
      </c>
    </row>
    <row r="343" spans="1:6" x14ac:dyDescent="0.2">
      <c r="A343" s="3">
        <v>44538</v>
      </c>
      <c r="B343">
        <v>6.270520833</v>
      </c>
      <c r="C343">
        <v>0.17499999999999999</v>
      </c>
      <c r="D343">
        <v>7.0083333330000004</v>
      </c>
      <c r="E343">
        <v>65.298611109999996</v>
      </c>
      <c r="F343">
        <v>11.04166667</v>
      </c>
    </row>
    <row r="344" spans="1:6" x14ac:dyDescent="0.2">
      <c r="A344" s="3">
        <v>44539</v>
      </c>
      <c r="B344">
        <v>7.4253125000000004</v>
      </c>
      <c r="C344">
        <v>0.57083333300000005</v>
      </c>
      <c r="D344">
        <v>6.8666666669999996</v>
      </c>
      <c r="E344">
        <v>73.458333330000002</v>
      </c>
      <c r="F344">
        <v>20.375</v>
      </c>
    </row>
    <row r="345" spans="1:6" x14ac:dyDescent="0.2">
      <c r="A345" s="3">
        <v>44540</v>
      </c>
      <c r="B345">
        <v>7.0489583329999999</v>
      </c>
      <c r="C345">
        <v>0</v>
      </c>
      <c r="D345">
        <v>6.9708333329999999</v>
      </c>
      <c r="E345">
        <v>63.788854999999998</v>
      </c>
      <c r="F345">
        <v>12.29166667</v>
      </c>
    </row>
    <row r="346" spans="1:6" x14ac:dyDescent="0.2">
      <c r="A346" s="3">
        <v>44541</v>
      </c>
      <c r="B346">
        <v>6.7235416670000001</v>
      </c>
      <c r="C346">
        <v>0</v>
      </c>
      <c r="D346">
        <v>6.7416666669999996</v>
      </c>
      <c r="E346">
        <v>63.90608752</v>
      </c>
      <c r="F346">
        <v>42.375</v>
      </c>
    </row>
    <row r="347" spans="1:6" x14ac:dyDescent="0.2">
      <c r="A347" s="3">
        <v>44542</v>
      </c>
      <c r="B347">
        <v>6.7227083329999999</v>
      </c>
      <c r="C347">
        <v>0</v>
      </c>
      <c r="D347">
        <v>7.2750000000000004</v>
      </c>
      <c r="E347">
        <v>58.583333330000002</v>
      </c>
      <c r="F347">
        <v>9.125</v>
      </c>
    </row>
    <row r="348" spans="1:6" x14ac:dyDescent="0.2">
      <c r="A348" s="3">
        <v>44543</v>
      </c>
      <c r="B348">
        <v>7.9132291669999999</v>
      </c>
      <c r="C348">
        <v>0</v>
      </c>
      <c r="D348">
        <v>9.1333333329999995</v>
      </c>
      <c r="E348">
        <v>58.5</v>
      </c>
      <c r="F348">
        <v>4</v>
      </c>
    </row>
    <row r="349" spans="1:6" x14ac:dyDescent="0.2">
      <c r="A349" s="3">
        <v>44544</v>
      </c>
      <c r="B349">
        <v>7.8029166669999999</v>
      </c>
      <c r="C349">
        <v>0</v>
      </c>
      <c r="D349">
        <v>8.9916666670000005</v>
      </c>
      <c r="E349">
        <v>67.833333330000002</v>
      </c>
      <c r="F349">
        <v>5.2916666670000003</v>
      </c>
    </row>
    <row r="350" spans="1:6" x14ac:dyDescent="0.2">
      <c r="A350" s="3">
        <v>44545</v>
      </c>
      <c r="B350">
        <v>7.1659865040000001</v>
      </c>
      <c r="C350">
        <v>0</v>
      </c>
      <c r="D350">
        <v>10.15</v>
      </c>
      <c r="E350">
        <v>61.666666669999998</v>
      </c>
      <c r="F350">
        <v>13.08333333</v>
      </c>
    </row>
    <row r="351" spans="1:6" x14ac:dyDescent="0.2">
      <c r="A351" s="3">
        <v>44546</v>
      </c>
      <c r="B351">
        <v>7.3745833330000004</v>
      </c>
      <c r="C351">
        <v>0</v>
      </c>
      <c r="D351">
        <v>10.09583333</v>
      </c>
      <c r="E351">
        <v>59.083333330000002</v>
      </c>
      <c r="F351">
        <v>18.75</v>
      </c>
    </row>
    <row r="352" spans="1:6" x14ac:dyDescent="0.2">
      <c r="A352" s="3">
        <v>44547</v>
      </c>
      <c r="B352">
        <v>7.1719932479999997</v>
      </c>
      <c r="C352">
        <v>0</v>
      </c>
      <c r="D352">
        <v>9.6166666670000005</v>
      </c>
      <c r="E352">
        <v>68.083333330000002</v>
      </c>
      <c r="F352">
        <v>6.25</v>
      </c>
    </row>
    <row r="353" spans="1:6" x14ac:dyDescent="0.2">
      <c r="A353" s="3">
        <v>44548</v>
      </c>
      <c r="B353">
        <v>6.5239583330000004</v>
      </c>
      <c r="C353">
        <v>0</v>
      </c>
      <c r="D353">
        <v>8.9375</v>
      </c>
      <c r="E353">
        <v>57.875</v>
      </c>
      <c r="F353">
        <v>9.75</v>
      </c>
    </row>
    <row r="354" spans="1:6" x14ac:dyDescent="0.2">
      <c r="A354" s="3">
        <v>44549</v>
      </c>
      <c r="B354">
        <v>6.7290625000000004</v>
      </c>
      <c r="C354">
        <v>0</v>
      </c>
      <c r="D354">
        <v>6.3791666669999998</v>
      </c>
      <c r="E354">
        <v>84</v>
      </c>
      <c r="F354">
        <v>5.7083333329999997</v>
      </c>
    </row>
    <row r="355" spans="1:6" x14ac:dyDescent="0.2">
      <c r="A355" s="3">
        <v>44550</v>
      </c>
      <c r="B355">
        <v>8.1409374999999997</v>
      </c>
      <c r="C355">
        <v>0</v>
      </c>
      <c r="D355">
        <v>8.4749999999999996</v>
      </c>
      <c r="E355">
        <v>55.208333330000002</v>
      </c>
      <c r="F355">
        <v>13.5</v>
      </c>
    </row>
    <row r="356" spans="1:6" x14ac:dyDescent="0.2">
      <c r="A356" s="3">
        <v>44551</v>
      </c>
      <c r="B356">
        <v>7.5221875000000002</v>
      </c>
      <c r="C356">
        <v>0.133333333</v>
      </c>
      <c r="D356">
        <v>6.375</v>
      </c>
      <c r="E356">
        <v>61.625</v>
      </c>
      <c r="F356">
        <v>12.54166667</v>
      </c>
    </row>
    <row r="357" spans="1:6" x14ac:dyDescent="0.2">
      <c r="A357" s="3">
        <v>44552</v>
      </c>
      <c r="B357">
        <v>7.190416667</v>
      </c>
      <c r="C357">
        <v>1.2500000000000001E-2</v>
      </c>
      <c r="D357">
        <v>5.8125</v>
      </c>
      <c r="E357">
        <v>67.333333330000002</v>
      </c>
      <c r="F357">
        <v>22.09117655</v>
      </c>
    </row>
    <row r="358" spans="1:6" x14ac:dyDescent="0.2">
      <c r="A358" s="3">
        <v>44553</v>
      </c>
      <c r="B358">
        <v>7.1091666670000002</v>
      </c>
      <c r="C358">
        <v>0</v>
      </c>
      <c r="D358">
        <v>7.016666667</v>
      </c>
      <c r="E358">
        <v>71.625</v>
      </c>
      <c r="F358">
        <v>5.4583333329999997</v>
      </c>
    </row>
    <row r="359" spans="1:6" x14ac:dyDescent="0.2">
      <c r="A359" s="3">
        <v>44554</v>
      </c>
      <c r="B359">
        <v>7.003271668</v>
      </c>
      <c r="C359">
        <v>7.0833332999999998E-2</v>
      </c>
      <c r="D359">
        <v>7.141666667</v>
      </c>
      <c r="E359">
        <v>88.791666669999998</v>
      </c>
      <c r="F359">
        <v>7.25</v>
      </c>
    </row>
    <row r="360" spans="1:6" x14ac:dyDescent="0.2">
      <c r="A360" s="3">
        <v>44555</v>
      </c>
      <c r="B360">
        <v>6.2522916669999997</v>
      </c>
      <c r="C360">
        <v>0.32916666700000002</v>
      </c>
      <c r="D360">
        <v>7.5374999999999996</v>
      </c>
      <c r="E360">
        <v>95.875</v>
      </c>
      <c r="F360">
        <v>5</v>
      </c>
    </row>
    <row r="361" spans="1:6" x14ac:dyDescent="0.2">
      <c r="A361" s="3">
        <v>44556</v>
      </c>
      <c r="B361">
        <v>6.1725000000000003</v>
      </c>
      <c r="C361">
        <v>0.22083333299999999</v>
      </c>
      <c r="D361">
        <v>8.6083333329999991</v>
      </c>
      <c r="E361">
        <v>77.236109510000006</v>
      </c>
      <c r="F361">
        <v>14.91666667</v>
      </c>
    </row>
    <row r="362" spans="1:6" x14ac:dyDescent="0.2">
      <c r="A362" s="3">
        <v>44557</v>
      </c>
      <c r="B362">
        <v>7.6403125000000003</v>
      </c>
      <c r="C362">
        <v>4.1666669999999998E-3</v>
      </c>
      <c r="D362">
        <v>9</v>
      </c>
      <c r="E362">
        <v>73.708333330000002</v>
      </c>
      <c r="F362">
        <v>10.125</v>
      </c>
    </row>
    <row r="363" spans="1:6" x14ac:dyDescent="0.2">
      <c r="A363" s="3">
        <v>44558</v>
      </c>
      <c r="B363">
        <v>7.4793750000000001</v>
      </c>
      <c r="C363">
        <v>1.2500000000000001E-2</v>
      </c>
      <c r="D363">
        <v>9.6</v>
      </c>
      <c r="E363">
        <v>91.875</v>
      </c>
      <c r="F363">
        <v>4.5416666670000003</v>
      </c>
    </row>
    <row r="364" spans="1:6" x14ac:dyDescent="0.2">
      <c r="A364" s="3">
        <v>44559</v>
      </c>
      <c r="B364">
        <v>6.9620833329999998</v>
      </c>
      <c r="C364">
        <v>2.5000000000000001E-2</v>
      </c>
      <c r="D364">
        <v>8.9791666669999994</v>
      </c>
      <c r="E364">
        <v>92.25</v>
      </c>
      <c r="F364">
        <v>5.375</v>
      </c>
    </row>
    <row r="365" spans="1:6" x14ac:dyDescent="0.2">
      <c r="A365" s="3">
        <v>44560</v>
      </c>
      <c r="B365">
        <v>7.2430208330000001</v>
      </c>
      <c r="C365">
        <v>0</v>
      </c>
      <c r="D365">
        <v>8.8916666670000009</v>
      </c>
      <c r="E365">
        <v>91.916666669999998</v>
      </c>
      <c r="F365">
        <v>5.0416666670000003</v>
      </c>
    </row>
    <row r="366" spans="1:6" x14ac:dyDescent="0.2">
      <c r="A366" s="3">
        <v>44561</v>
      </c>
      <c r="B366">
        <v>7.2784374999999999</v>
      </c>
      <c r="C366">
        <v>0</v>
      </c>
      <c r="D366">
        <v>6.9625000000000004</v>
      </c>
      <c r="E366">
        <v>99.375</v>
      </c>
      <c r="F366">
        <v>4.5</v>
      </c>
    </row>
    <row r="367" spans="1:6" x14ac:dyDescent="0.2">
      <c r="A367" s="3">
        <v>44562</v>
      </c>
      <c r="B367">
        <v>6.5579166669999998</v>
      </c>
      <c r="C367">
        <v>0</v>
      </c>
      <c r="D367">
        <v>5.6333333330000004</v>
      </c>
      <c r="E367">
        <v>100</v>
      </c>
      <c r="F367">
        <v>5.1666666670000003</v>
      </c>
    </row>
    <row r="368" spans="1:6" x14ac:dyDescent="0.2">
      <c r="A368" s="3">
        <v>44563</v>
      </c>
      <c r="B368">
        <v>6.7302083330000002</v>
      </c>
      <c r="C368">
        <v>0</v>
      </c>
      <c r="D368">
        <v>6.5083333330000004</v>
      </c>
      <c r="E368">
        <v>96.25</v>
      </c>
      <c r="F368">
        <v>6.0416666670000003</v>
      </c>
    </row>
    <row r="369" spans="1:6" x14ac:dyDescent="0.2">
      <c r="A369" s="3">
        <v>44564</v>
      </c>
      <c r="B369">
        <v>8.1070833330000003</v>
      </c>
      <c r="C369">
        <v>2.9166667E-2</v>
      </c>
      <c r="D369">
        <v>8.35</v>
      </c>
      <c r="E369">
        <v>95.166666669999998</v>
      </c>
      <c r="F369">
        <v>6.0833333329999997</v>
      </c>
    </row>
    <row r="370" spans="1:6" x14ac:dyDescent="0.2">
      <c r="A370" s="3">
        <v>44565</v>
      </c>
      <c r="B370">
        <v>9.8722916670000007</v>
      </c>
      <c r="C370">
        <v>2.5000000000000001E-2</v>
      </c>
      <c r="D370">
        <v>8.2874999999999996</v>
      </c>
      <c r="E370">
        <v>97</v>
      </c>
      <c r="F370">
        <v>5.0833333329999997</v>
      </c>
    </row>
    <row r="371" spans="1:6" x14ac:dyDescent="0.2">
      <c r="A371" s="3">
        <v>44566</v>
      </c>
      <c r="B371">
        <v>10.418958330000001</v>
      </c>
      <c r="C371">
        <v>0.15416666700000001</v>
      </c>
      <c r="D371">
        <v>12.483333330000001</v>
      </c>
      <c r="E371">
        <v>77.889354870000005</v>
      </c>
      <c r="F371">
        <v>21.375</v>
      </c>
    </row>
    <row r="372" spans="1:6" x14ac:dyDescent="0.2">
      <c r="A372" s="3">
        <v>44567</v>
      </c>
      <c r="B372">
        <v>9.2440625000000001</v>
      </c>
      <c r="C372">
        <v>0.2</v>
      </c>
      <c r="D372">
        <v>7.4375</v>
      </c>
      <c r="E372">
        <v>62.10267975</v>
      </c>
      <c r="F372">
        <v>45.291666669999998</v>
      </c>
    </row>
    <row r="373" spans="1:6" x14ac:dyDescent="0.2">
      <c r="A373" s="3">
        <v>44568</v>
      </c>
      <c r="B373">
        <v>8.9686458330000001</v>
      </c>
      <c r="C373">
        <v>0</v>
      </c>
      <c r="D373">
        <v>5.0208333329999997</v>
      </c>
      <c r="E373">
        <v>49.458333330000002</v>
      </c>
      <c r="F373">
        <v>38.166666669999998</v>
      </c>
    </row>
    <row r="374" spans="1:6" x14ac:dyDescent="0.2">
      <c r="A374" s="3">
        <v>44569</v>
      </c>
      <c r="B374">
        <v>8.8029166669999999</v>
      </c>
      <c r="C374">
        <v>0</v>
      </c>
      <c r="D374">
        <v>4.358333333</v>
      </c>
      <c r="E374">
        <v>41.25</v>
      </c>
      <c r="F374">
        <v>21.083333329999999</v>
      </c>
    </row>
    <row r="375" spans="1:6" x14ac:dyDescent="0.2">
      <c r="A375" s="3">
        <v>44570</v>
      </c>
      <c r="B375">
        <v>8.8038541670000008</v>
      </c>
      <c r="C375">
        <v>4.1666669999999998E-3</v>
      </c>
      <c r="D375">
        <v>5.5625</v>
      </c>
      <c r="E375">
        <v>52.958333330000002</v>
      </c>
      <c r="F375">
        <v>7.8333333329999997</v>
      </c>
    </row>
    <row r="376" spans="1:6" x14ac:dyDescent="0.2">
      <c r="A376" s="3">
        <v>44571</v>
      </c>
      <c r="B376">
        <v>7.9991666669999999</v>
      </c>
      <c r="C376">
        <v>0</v>
      </c>
      <c r="D376">
        <v>7.65</v>
      </c>
      <c r="E376">
        <v>51.791666669999998</v>
      </c>
      <c r="F376">
        <v>20.166666670000001</v>
      </c>
    </row>
    <row r="377" spans="1:6" x14ac:dyDescent="0.2">
      <c r="A377" s="3">
        <v>44572</v>
      </c>
      <c r="B377">
        <v>7.8715624999999996</v>
      </c>
      <c r="C377">
        <v>0</v>
      </c>
      <c r="D377">
        <v>6.4583333329999997</v>
      </c>
      <c r="E377">
        <v>50.291666669999998</v>
      </c>
      <c r="F377">
        <v>35.791666669999998</v>
      </c>
    </row>
    <row r="378" spans="1:6" x14ac:dyDescent="0.2">
      <c r="A378" s="3">
        <v>44573</v>
      </c>
      <c r="B378">
        <v>7.2718749999999996</v>
      </c>
      <c r="C378">
        <v>8.3333330000000001E-3</v>
      </c>
      <c r="D378">
        <v>5.4166666670000003</v>
      </c>
      <c r="E378">
        <v>40.666666669999998</v>
      </c>
      <c r="F378">
        <v>33.166666669999998</v>
      </c>
    </row>
    <row r="379" spans="1:6" x14ac:dyDescent="0.2">
      <c r="A379" s="3">
        <v>44574</v>
      </c>
      <c r="B379">
        <v>8.9151041670000009</v>
      </c>
      <c r="C379">
        <v>0</v>
      </c>
      <c r="D379">
        <v>6.5</v>
      </c>
      <c r="E379">
        <v>42.541666669999998</v>
      </c>
      <c r="F379">
        <v>25.791666670000001</v>
      </c>
    </row>
    <row r="380" spans="1:6" x14ac:dyDescent="0.2">
      <c r="A380" s="3">
        <v>44575</v>
      </c>
      <c r="B380">
        <v>7.7745833329999998</v>
      </c>
      <c r="C380">
        <v>0</v>
      </c>
      <c r="D380">
        <v>6.4791666670000003</v>
      </c>
      <c r="E380">
        <v>64.5</v>
      </c>
      <c r="F380">
        <v>4.0416666670000003</v>
      </c>
    </row>
    <row r="381" spans="1:6" x14ac:dyDescent="0.2">
      <c r="A381" s="3">
        <v>44576</v>
      </c>
      <c r="B381">
        <v>6.8596874999999997</v>
      </c>
      <c r="C381">
        <v>0</v>
      </c>
      <c r="D381">
        <v>8.7333333329999991</v>
      </c>
      <c r="E381">
        <v>64.041666669999998</v>
      </c>
      <c r="F381">
        <v>7.0416666670000003</v>
      </c>
    </row>
    <row r="382" spans="1:6" x14ac:dyDescent="0.2">
      <c r="A382" s="3">
        <v>44577</v>
      </c>
      <c r="B382">
        <v>6.4713541670000003</v>
      </c>
      <c r="C382">
        <v>0</v>
      </c>
      <c r="D382">
        <v>8.3708333330000002</v>
      </c>
      <c r="E382">
        <v>72.791666669999998</v>
      </c>
      <c r="F382">
        <v>3.9583333330000001</v>
      </c>
    </row>
    <row r="383" spans="1:6" x14ac:dyDescent="0.2">
      <c r="A383" s="3">
        <v>44578</v>
      </c>
      <c r="B383">
        <v>7.4012500000000001</v>
      </c>
      <c r="C383">
        <v>0</v>
      </c>
      <c r="D383">
        <v>7.3833333330000004</v>
      </c>
      <c r="E383">
        <v>85.958333330000002</v>
      </c>
      <c r="F383">
        <v>4.4166666670000003</v>
      </c>
    </row>
    <row r="384" spans="1:6" x14ac:dyDescent="0.2">
      <c r="A384" s="3">
        <v>44579</v>
      </c>
      <c r="B384">
        <v>7.7206250000000001</v>
      </c>
      <c r="C384">
        <v>0</v>
      </c>
      <c r="D384">
        <v>8.65</v>
      </c>
      <c r="E384">
        <v>66.958333330000002</v>
      </c>
      <c r="F384">
        <v>8.1666666669999994</v>
      </c>
    </row>
    <row r="385" spans="1:6" x14ac:dyDescent="0.2">
      <c r="A385" s="3">
        <v>44580</v>
      </c>
      <c r="B385">
        <v>7.377916667</v>
      </c>
      <c r="C385">
        <v>0</v>
      </c>
      <c r="D385">
        <v>7.170833333</v>
      </c>
      <c r="E385">
        <v>72.75</v>
      </c>
      <c r="F385">
        <v>4.5833333329999997</v>
      </c>
    </row>
    <row r="386" spans="1:6" x14ac:dyDescent="0.2">
      <c r="A386" s="3">
        <v>44581</v>
      </c>
      <c r="B386">
        <v>7.3983333330000001</v>
      </c>
      <c r="C386">
        <v>8.7499999999999994E-2</v>
      </c>
      <c r="D386">
        <v>6.9</v>
      </c>
      <c r="E386">
        <v>86.166666669999998</v>
      </c>
      <c r="F386">
        <v>7.125</v>
      </c>
    </row>
    <row r="387" spans="1:6" x14ac:dyDescent="0.2">
      <c r="A387" s="3">
        <v>44582</v>
      </c>
      <c r="B387">
        <v>7.6266666670000003</v>
      </c>
      <c r="C387">
        <v>4.1666669999999998E-3</v>
      </c>
      <c r="D387">
        <v>6.35</v>
      </c>
      <c r="E387">
        <v>52.256734270000003</v>
      </c>
      <c r="F387">
        <v>20.083333329999999</v>
      </c>
    </row>
    <row r="388" spans="1:6" x14ac:dyDescent="0.2">
      <c r="A388" s="3">
        <v>44583</v>
      </c>
      <c r="B388">
        <v>6.0105208330000002</v>
      </c>
      <c r="C388">
        <v>0</v>
      </c>
      <c r="D388">
        <v>5.5374999999999996</v>
      </c>
      <c r="E388">
        <v>66.708333330000002</v>
      </c>
      <c r="F388">
        <v>6.3333333329999997</v>
      </c>
    </row>
    <row r="389" spans="1:6" x14ac:dyDescent="0.2">
      <c r="A389" s="3">
        <v>44584</v>
      </c>
      <c r="B389">
        <v>6.247083333</v>
      </c>
      <c r="C389">
        <v>0</v>
      </c>
      <c r="D389">
        <v>6.45</v>
      </c>
      <c r="E389">
        <v>73.416666669999998</v>
      </c>
      <c r="F389">
        <v>6.2083333329999997</v>
      </c>
    </row>
    <row r="390" spans="1:6" x14ac:dyDescent="0.2">
      <c r="A390" s="3">
        <v>44585</v>
      </c>
      <c r="B390">
        <v>6.9529166670000002</v>
      </c>
      <c r="C390">
        <v>0</v>
      </c>
      <c r="D390">
        <v>6.55</v>
      </c>
      <c r="E390">
        <v>60.541666669999998</v>
      </c>
      <c r="F390">
        <v>19.083333329999999</v>
      </c>
    </row>
    <row r="391" spans="1:6" x14ac:dyDescent="0.2">
      <c r="A391" s="3">
        <v>44586</v>
      </c>
      <c r="B391">
        <v>6.8752083329999998</v>
      </c>
      <c r="C391">
        <v>0</v>
      </c>
      <c r="D391">
        <v>5.5083333330000004</v>
      </c>
      <c r="E391">
        <v>65.875</v>
      </c>
      <c r="F391">
        <v>6.125</v>
      </c>
    </row>
    <row r="392" spans="1:6" x14ac:dyDescent="0.2">
      <c r="A392" s="3">
        <v>44587</v>
      </c>
      <c r="B392">
        <v>6.829166667</v>
      </c>
      <c r="C392">
        <v>0</v>
      </c>
      <c r="D392">
        <v>5.5333333329999999</v>
      </c>
      <c r="E392">
        <v>74.208333330000002</v>
      </c>
      <c r="F392">
        <v>6.125</v>
      </c>
    </row>
    <row r="393" spans="1:6" x14ac:dyDescent="0.2">
      <c r="A393" s="3">
        <v>44588</v>
      </c>
      <c r="B393">
        <v>6.7608333329999999</v>
      </c>
      <c r="C393">
        <v>0</v>
      </c>
      <c r="D393">
        <v>5.4</v>
      </c>
      <c r="E393">
        <v>78.958333330000002</v>
      </c>
      <c r="F393">
        <v>5.2916666670000003</v>
      </c>
    </row>
    <row r="394" spans="1:6" x14ac:dyDescent="0.2">
      <c r="A394" s="3">
        <v>44589</v>
      </c>
      <c r="B394">
        <v>6.6264583330000004</v>
      </c>
      <c r="C394">
        <v>0</v>
      </c>
      <c r="D394">
        <v>6.8</v>
      </c>
      <c r="E394">
        <v>78.208333330000002</v>
      </c>
      <c r="F394">
        <v>7</v>
      </c>
    </row>
    <row r="395" spans="1:6" x14ac:dyDescent="0.2">
      <c r="A395" s="3">
        <v>44590</v>
      </c>
      <c r="B395">
        <v>6.3565624999999999</v>
      </c>
      <c r="C395">
        <v>0</v>
      </c>
      <c r="D395">
        <v>7.5875000000000004</v>
      </c>
      <c r="E395">
        <v>52</v>
      </c>
      <c r="F395">
        <v>7</v>
      </c>
    </row>
    <row r="396" spans="1:6" x14ac:dyDescent="0.2">
      <c r="A396" s="3">
        <v>44591</v>
      </c>
      <c r="B396">
        <v>6.4005208329999999</v>
      </c>
      <c r="C396">
        <v>0</v>
      </c>
      <c r="D396">
        <v>7.3375000000000004</v>
      </c>
      <c r="E396">
        <v>69.625</v>
      </c>
      <c r="F396">
        <v>6.2083333329999997</v>
      </c>
    </row>
    <row r="397" spans="1:6" x14ac:dyDescent="0.2">
      <c r="A397" s="3">
        <v>44592</v>
      </c>
      <c r="B397">
        <v>7.2808101890000003</v>
      </c>
      <c r="C397">
        <v>0</v>
      </c>
      <c r="D397">
        <v>7.7583333330000004</v>
      </c>
      <c r="E397">
        <v>74.25</v>
      </c>
      <c r="F397">
        <v>7.7916666670000003</v>
      </c>
    </row>
    <row r="398" spans="1:6" x14ac:dyDescent="0.2">
      <c r="A398" s="3">
        <v>44593</v>
      </c>
      <c r="B398">
        <v>7.1901041670000003</v>
      </c>
      <c r="C398">
        <v>0</v>
      </c>
      <c r="D398">
        <v>7.3375000000000004</v>
      </c>
      <c r="E398">
        <v>65.583333330000002</v>
      </c>
      <c r="F398">
        <v>6.3333333329999997</v>
      </c>
    </row>
    <row r="399" spans="1:6" x14ac:dyDescent="0.2">
      <c r="A399" s="3">
        <v>44594</v>
      </c>
      <c r="B399">
        <v>7.375</v>
      </c>
      <c r="C399">
        <v>0</v>
      </c>
      <c r="D399">
        <v>7.375</v>
      </c>
      <c r="E399">
        <v>67.75</v>
      </c>
      <c r="F399">
        <v>5.75</v>
      </c>
    </row>
    <row r="400" spans="1:6" x14ac:dyDescent="0.2">
      <c r="A400" s="3">
        <v>44595</v>
      </c>
      <c r="B400">
        <v>6.778333333</v>
      </c>
      <c r="C400">
        <v>0</v>
      </c>
      <c r="D400">
        <v>8.7041666670000009</v>
      </c>
      <c r="E400">
        <v>63.541666669999998</v>
      </c>
      <c r="F400">
        <v>6.7083333329999997</v>
      </c>
    </row>
    <row r="401" spans="1:6" x14ac:dyDescent="0.2">
      <c r="A401" s="3">
        <v>44596</v>
      </c>
      <c r="B401">
        <v>6.7603125000000004</v>
      </c>
      <c r="C401">
        <v>0</v>
      </c>
      <c r="D401">
        <v>9.375</v>
      </c>
      <c r="E401">
        <v>80.875</v>
      </c>
      <c r="F401">
        <v>5.6666666670000003</v>
      </c>
    </row>
    <row r="402" spans="1:6" x14ac:dyDescent="0.2">
      <c r="A402" s="3">
        <v>44597</v>
      </c>
      <c r="B402">
        <v>6.3391666669999998</v>
      </c>
      <c r="C402">
        <v>0</v>
      </c>
      <c r="D402">
        <v>8.9166666669999994</v>
      </c>
      <c r="E402">
        <v>95.583333330000002</v>
      </c>
      <c r="F402">
        <v>4.1666666670000003</v>
      </c>
    </row>
    <row r="403" spans="1:6" x14ac:dyDescent="0.2">
      <c r="A403" s="3">
        <v>44598</v>
      </c>
      <c r="B403">
        <v>6.0103125000000004</v>
      </c>
      <c r="C403">
        <v>4.1666669999999998E-3</v>
      </c>
      <c r="D403">
        <v>7.4749999999999996</v>
      </c>
      <c r="E403">
        <v>90.708333330000002</v>
      </c>
      <c r="F403">
        <v>4.7916666670000003</v>
      </c>
    </row>
    <row r="404" spans="1:6" x14ac:dyDescent="0.2">
      <c r="A404" s="3">
        <v>44599</v>
      </c>
      <c r="B404">
        <v>7.1413541670000003</v>
      </c>
      <c r="C404">
        <v>4.1666669999999998E-3</v>
      </c>
      <c r="D404">
        <v>8.8666666670000005</v>
      </c>
      <c r="E404">
        <v>67.208333330000002</v>
      </c>
      <c r="F404">
        <v>20.25</v>
      </c>
    </row>
    <row r="405" spans="1:6" x14ac:dyDescent="0.2">
      <c r="A405" s="3">
        <v>44600</v>
      </c>
      <c r="B405">
        <v>7.290104167</v>
      </c>
      <c r="C405">
        <v>0</v>
      </c>
      <c r="D405">
        <v>7.5833333329999997</v>
      </c>
      <c r="E405">
        <v>49.875</v>
      </c>
      <c r="F405">
        <v>6</v>
      </c>
    </row>
    <row r="406" spans="1:6" x14ac:dyDescent="0.2">
      <c r="A406" s="3">
        <v>44601</v>
      </c>
      <c r="B406">
        <v>6.6633333329999997</v>
      </c>
      <c r="C406">
        <v>0</v>
      </c>
      <c r="D406">
        <v>7.0333333329999999</v>
      </c>
      <c r="E406">
        <v>61</v>
      </c>
      <c r="F406">
        <v>3.875</v>
      </c>
    </row>
    <row r="407" spans="1:6" x14ac:dyDescent="0.2">
      <c r="A407" s="3">
        <v>44602</v>
      </c>
      <c r="B407">
        <v>6.9534374999999997</v>
      </c>
      <c r="C407">
        <v>0</v>
      </c>
      <c r="D407">
        <v>7.4791666670000003</v>
      </c>
      <c r="E407">
        <v>74.416666669999998</v>
      </c>
      <c r="F407">
        <v>4.75</v>
      </c>
    </row>
    <row r="408" spans="1:6" x14ac:dyDescent="0.2">
      <c r="A408" s="3">
        <v>44603</v>
      </c>
      <c r="B408">
        <v>6.8543750000000001</v>
      </c>
      <c r="C408">
        <v>8.3333330000000001E-3</v>
      </c>
      <c r="D408">
        <v>9.3208333329999995</v>
      </c>
      <c r="E408">
        <v>84.5</v>
      </c>
      <c r="F408">
        <v>9.5</v>
      </c>
    </row>
    <row r="409" spans="1:6" x14ac:dyDescent="0.2">
      <c r="A409" s="3">
        <v>44604</v>
      </c>
      <c r="B409">
        <v>6.6227083330000003</v>
      </c>
      <c r="C409">
        <v>0</v>
      </c>
      <c r="D409">
        <v>8.8041666670000005</v>
      </c>
      <c r="E409">
        <v>45.833333330000002</v>
      </c>
      <c r="F409">
        <v>40.208333330000002</v>
      </c>
    </row>
    <row r="410" spans="1:6" x14ac:dyDescent="0.2">
      <c r="A410" s="3">
        <v>44605</v>
      </c>
      <c r="B410">
        <v>6.1725000000000003</v>
      </c>
      <c r="C410">
        <v>0</v>
      </c>
      <c r="D410">
        <v>6.8375000000000004</v>
      </c>
      <c r="E410">
        <v>56</v>
      </c>
      <c r="F410">
        <v>15.79166667</v>
      </c>
    </row>
    <row r="411" spans="1:6" x14ac:dyDescent="0.2">
      <c r="A411" s="3">
        <v>44606</v>
      </c>
      <c r="B411">
        <v>6.9243750000000004</v>
      </c>
      <c r="C411">
        <v>7.4999999999999997E-2</v>
      </c>
      <c r="D411">
        <v>6.1166666669999996</v>
      </c>
      <c r="E411">
        <v>69.75</v>
      </c>
      <c r="F411">
        <v>4.6666666670000003</v>
      </c>
    </row>
    <row r="412" spans="1:6" x14ac:dyDescent="0.2">
      <c r="A412" s="3">
        <v>44607</v>
      </c>
      <c r="B412">
        <v>7.3806250000000002</v>
      </c>
      <c r="C412">
        <v>0.25416666700000001</v>
      </c>
      <c r="D412">
        <v>9.3125</v>
      </c>
      <c r="E412">
        <v>88.625</v>
      </c>
      <c r="F412">
        <v>7.9166666670000003</v>
      </c>
    </row>
    <row r="413" spans="1:6" x14ac:dyDescent="0.2">
      <c r="A413" s="3">
        <v>44608</v>
      </c>
      <c r="B413">
        <v>6.7747916669999997</v>
      </c>
      <c r="C413">
        <v>4.1666669999999998E-3</v>
      </c>
      <c r="D413">
        <v>7.2708333329999997</v>
      </c>
      <c r="E413">
        <v>91.333333330000002</v>
      </c>
      <c r="F413">
        <v>5.875</v>
      </c>
    </row>
    <row r="414" spans="1:6" x14ac:dyDescent="0.2">
      <c r="A414" s="3">
        <v>44609</v>
      </c>
      <c r="B414">
        <v>6.4383381630000001</v>
      </c>
      <c r="C414">
        <v>0</v>
      </c>
      <c r="D414">
        <v>7.7750000000000004</v>
      </c>
      <c r="E414">
        <v>85.791666669999998</v>
      </c>
      <c r="F414">
        <v>6.875</v>
      </c>
    </row>
    <row r="415" spans="1:6" x14ac:dyDescent="0.2">
      <c r="A415" s="3">
        <v>44610</v>
      </c>
      <c r="B415">
        <v>6.4605208330000004</v>
      </c>
      <c r="C415">
        <v>1.6666667E-2</v>
      </c>
      <c r="D415">
        <v>9</v>
      </c>
      <c r="E415">
        <v>88.75</v>
      </c>
      <c r="F415">
        <v>5.3333333329999997</v>
      </c>
    </row>
    <row r="416" spans="1:6" x14ac:dyDescent="0.2">
      <c r="A416" s="3">
        <v>44611</v>
      </c>
      <c r="B416">
        <v>5.6629166670000002</v>
      </c>
      <c r="C416">
        <v>0.12916666700000001</v>
      </c>
      <c r="D416">
        <v>9.5541666670000005</v>
      </c>
      <c r="E416">
        <v>97.25</v>
      </c>
      <c r="F416">
        <v>9.5833333330000006</v>
      </c>
    </row>
    <row r="417" spans="1:6" x14ac:dyDescent="0.2">
      <c r="A417" s="3">
        <v>44612</v>
      </c>
      <c r="B417">
        <v>6.0360416670000001</v>
      </c>
      <c r="C417">
        <v>7.0833332999999998E-2</v>
      </c>
      <c r="D417">
        <v>9.6208333330000002</v>
      </c>
      <c r="E417">
        <v>83.083333330000002</v>
      </c>
      <c r="F417">
        <v>12.91666667</v>
      </c>
    </row>
    <row r="418" spans="1:6" x14ac:dyDescent="0.2">
      <c r="A418" s="3">
        <v>44613</v>
      </c>
      <c r="B418">
        <v>6.6581250000000001</v>
      </c>
      <c r="C418">
        <v>4.5833332999999997E-2</v>
      </c>
      <c r="D418">
        <v>9.9208333329999991</v>
      </c>
      <c r="E418">
        <v>79.125</v>
      </c>
      <c r="F418">
        <v>17.041666670000001</v>
      </c>
    </row>
    <row r="419" spans="1:6" x14ac:dyDescent="0.2">
      <c r="A419" s="3">
        <v>44614</v>
      </c>
      <c r="B419">
        <v>6.9831250000000002</v>
      </c>
      <c r="C419">
        <v>0</v>
      </c>
      <c r="D419">
        <v>9.3708333330000002</v>
      </c>
      <c r="E419">
        <v>55.875</v>
      </c>
      <c r="F419">
        <v>10.33333333</v>
      </c>
    </row>
    <row r="420" spans="1:6" x14ac:dyDescent="0.2">
      <c r="A420" s="3">
        <v>44615</v>
      </c>
      <c r="B420">
        <v>6.4882880209999998</v>
      </c>
      <c r="C420">
        <v>0</v>
      </c>
      <c r="D420">
        <v>8.6666666669999994</v>
      </c>
      <c r="E420">
        <v>61.833333330000002</v>
      </c>
      <c r="F420">
        <v>3.7083333330000001</v>
      </c>
    </row>
    <row r="421" spans="1:6" x14ac:dyDescent="0.2">
      <c r="A421" s="3">
        <v>44616</v>
      </c>
      <c r="B421">
        <v>6.8224999999999998</v>
      </c>
      <c r="C421">
        <v>0</v>
      </c>
      <c r="D421">
        <v>9.1666666669999994</v>
      </c>
      <c r="E421">
        <v>68.625</v>
      </c>
      <c r="F421">
        <v>5.4583333329999997</v>
      </c>
    </row>
    <row r="422" spans="1:6" x14ac:dyDescent="0.2">
      <c r="A422" s="3">
        <v>44617</v>
      </c>
      <c r="B422">
        <v>6.791041667</v>
      </c>
      <c r="C422">
        <v>5.4166667000000002E-2</v>
      </c>
      <c r="D422">
        <v>8.1791666670000005</v>
      </c>
      <c r="E422">
        <v>78.708333330000002</v>
      </c>
      <c r="F422">
        <v>15.95833333</v>
      </c>
    </row>
    <row r="423" spans="1:6" x14ac:dyDescent="0.2">
      <c r="A423" s="3">
        <v>44618</v>
      </c>
      <c r="B423">
        <v>6.045833333</v>
      </c>
      <c r="C423">
        <v>0</v>
      </c>
      <c r="D423">
        <v>8.2041666670000009</v>
      </c>
      <c r="E423">
        <v>47.833333330000002</v>
      </c>
      <c r="F423">
        <v>30.833333329999999</v>
      </c>
    </row>
    <row r="424" spans="1:6" x14ac:dyDescent="0.2">
      <c r="A424" s="3">
        <v>44619</v>
      </c>
      <c r="B424">
        <v>5.9008333329999996</v>
      </c>
      <c r="C424">
        <v>0</v>
      </c>
      <c r="D424">
        <v>8.1416666670000009</v>
      </c>
      <c r="E424">
        <v>45.5</v>
      </c>
      <c r="F424">
        <v>42.583333330000002</v>
      </c>
    </row>
    <row r="425" spans="1:6" x14ac:dyDescent="0.2">
      <c r="A425" s="3">
        <v>44620</v>
      </c>
      <c r="B425">
        <v>7.1067708329999997</v>
      </c>
      <c r="C425">
        <v>0</v>
      </c>
      <c r="D425">
        <v>7.2208333329999999</v>
      </c>
      <c r="E425">
        <v>41.625</v>
      </c>
      <c r="F425">
        <v>28.375</v>
      </c>
    </row>
    <row r="426" spans="1:6" x14ac:dyDescent="0.2">
      <c r="A426" s="3">
        <v>44621</v>
      </c>
      <c r="B426">
        <v>7.4601041669999999</v>
      </c>
      <c r="C426">
        <v>0</v>
      </c>
      <c r="D426">
        <v>6.579166667</v>
      </c>
      <c r="E426">
        <v>42.875</v>
      </c>
      <c r="F426">
        <v>17.5</v>
      </c>
    </row>
    <row r="427" spans="1:6" x14ac:dyDescent="0.2">
      <c r="A427" s="3">
        <v>44622</v>
      </c>
      <c r="B427">
        <v>6.8630208330000002</v>
      </c>
      <c r="C427">
        <v>0</v>
      </c>
      <c r="D427">
        <v>6.7416666669999996</v>
      </c>
      <c r="E427">
        <v>45.791666669999998</v>
      </c>
      <c r="F427">
        <v>7.8333333329999997</v>
      </c>
    </row>
    <row r="428" spans="1:6" x14ac:dyDescent="0.2">
      <c r="A428" s="3">
        <v>44623</v>
      </c>
      <c r="B428">
        <v>7.0863541669999996</v>
      </c>
      <c r="C428">
        <v>0</v>
      </c>
      <c r="D428">
        <v>6.5958333329999999</v>
      </c>
      <c r="E428">
        <v>54.375</v>
      </c>
      <c r="F428">
        <v>4.5</v>
      </c>
    </row>
    <row r="429" spans="1:6" x14ac:dyDescent="0.2">
      <c r="A429" s="3">
        <v>44624</v>
      </c>
      <c r="B429">
        <v>6.8104913460000001</v>
      </c>
      <c r="C429">
        <v>0</v>
      </c>
      <c r="D429">
        <v>8.6291666669999998</v>
      </c>
      <c r="E429">
        <v>34.625</v>
      </c>
      <c r="F429">
        <v>19.416666670000001</v>
      </c>
    </row>
    <row r="430" spans="1:6" x14ac:dyDescent="0.2">
      <c r="A430" s="3">
        <v>44625</v>
      </c>
      <c r="B430">
        <v>6.3084375000000001</v>
      </c>
      <c r="C430">
        <v>4.1666669999999998E-3</v>
      </c>
      <c r="D430">
        <v>6.0750000000000002</v>
      </c>
      <c r="E430">
        <v>43.708333330000002</v>
      </c>
      <c r="F430">
        <v>27.041666670000001</v>
      </c>
    </row>
    <row r="431" spans="1:6" x14ac:dyDescent="0.2">
      <c r="A431" s="3">
        <v>44626</v>
      </c>
      <c r="B431">
        <v>6.4868750000000004</v>
      </c>
      <c r="C431">
        <v>0</v>
      </c>
      <c r="D431">
        <v>6.1333333330000004</v>
      </c>
      <c r="E431">
        <v>48.791666669999998</v>
      </c>
      <c r="F431">
        <v>28.666666670000001</v>
      </c>
    </row>
    <row r="432" spans="1:6" x14ac:dyDescent="0.2">
      <c r="A432" s="3">
        <v>44627</v>
      </c>
      <c r="B432">
        <v>7.1565624999999997</v>
      </c>
      <c r="C432">
        <v>0</v>
      </c>
      <c r="D432">
        <v>6.079166667</v>
      </c>
      <c r="E432">
        <v>42.541666669999998</v>
      </c>
      <c r="F432">
        <v>31.083333329999999</v>
      </c>
    </row>
    <row r="433" spans="1:6" x14ac:dyDescent="0.2">
      <c r="A433" s="3">
        <v>44628</v>
      </c>
      <c r="B433">
        <v>7.4310416669999997</v>
      </c>
      <c r="C433">
        <v>0</v>
      </c>
      <c r="D433">
        <v>6.1458333329999997</v>
      </c>
      <c r="E433">
        <v>43.083333330000002</v>
      </c>
      <c r="F433">
        <v>15.91666667</v>
      </c>
    </row>
    <row r="434" spans="1:6" x14ac:dyDescent="0.2">
      <c r="A434" s="3">
        <v>44629</v>
      </c>
      <c r="B434">
        <v>6.8939583329999996</v>
      </c>
      <c r="C434">
        <v>0</v>
      </c>
      <c r="D434">
        <v>6.8041666669999996</v>
      </c>
      <c r="E434">
        <v>52.416666669999998</v>
      </c>
      <c r="F434">
        <v>5.0416666670000003</v>
      </c>
    </row>
    <row r="435" spans="1:6" x14ac:dyDescent="0.2">
      <c r="A435" s="3">
        <v>44630</v>
      </c>
      <c r="B435">
        <v>6.736354167</v>
      </c>
      <c r="C435">
        <v>0</v>
      </c>
      <c r="D435">
        <v>7.795833333</v>
      </c>
      <c r="E435">
        <v>59.625</v>
      </c>
      <c r="F435">
        <v>6.2083333329999997</v>
      </c>
    </row>
    <row r="436" spans="1:6" x14ac:dyDescent="0.2">
      <c r="A436" s="3">
        <v>44631</v>
      </c>
      <c r="B436">
        <v>6.7079166670000001</v>
      </c>
      <c r="C436">
        <v>0</v>
      </c>
      <c r="D436">
        <v>7.1291666669999998</v>
      </c>
      <c r="E436">
        <v>39.708333330000002</v>
      </c>
      <c r="F436">
        <v>22.25</v>
      </c>
    </row>
    <row r="437" spans="1:6" x14ac:dyDescent="0.2">
      <c r="A437" s="3">
        <v>44632</v>
      </c>
      <c r="B437">
        <v>6.0447916670000001</v>
      </c>
      <c r="C437">
        <v>0</v>
      </c>
      <c r="D437">
        <v>5.625</v>
      </c>
      <c r="E437">
        <v>41</v>
      </c>
      <c r="F437">
        <v>21.291666670000001</v>
      </c>
    </row>
    <row r="438" spans="1:6" x14ac:dyDescent="0.2">
      <c r="A438" s="3">
        <v>44633</v>
      </c>
      <c r="B438">
        <v>6.0428125000000001</v>
      </c>
      <c r="C438">
        <v>0</v>
      </c>
      <c r="D438">
        <v>6.3250000000000002</v>
      </c>
      <c r="E438">
        <v>51.833333330000002</v>
      </c>
      <c r="F438">
        <v>7.9583333329999997</v>
      </c>
    </row>
    <row r="439" spans="1:6" x14ac:dyDescent="0.2">
      <c r="A439" s="3">
        <v>44634</v>
      </c>
      <c r="B439">
        <v>7.1153124999999999</v>
      </c>
      <c r="C439">
        <v>0</v>
      </c>
      <c r="D439">
        <v>7.6124999999999998</v>
      </c>
      <c r="E439">
        <v>68.875</v>
      </c>
      <c r="F439">
        <v>5.3333333329999997</v>
      </c>
    </row>
    <row r="440" spans="1:6" x14ac:dyDescent="0.2">
      <c r="A440" s="3">
        <v>44635</v>
      </c>
      <c r="B440">
        <v>7.2929166670000001</v>
      </c>
      <c r="C440">
        <v>0</v>
      </c>
      <c r="D440">
        <v>8.2541666669999998</v>
      </c>
      <c r="E440">
        <v>74.625</v>
      </c>
      <c r="F440">
        <v>4.5</v>
      </c>
    </row>
    <row r="441" spans="1:6" x14ac:dyDescent="0.2">
      <c r="A441" s="3">
        <v>44636</v>
      </c>
      <c r="B441">
        <v>7.1079166669999996</v>
      </c>
      <c r="C441">
        <v>0</v>
      </c>
      <c r="D441">
        <v>9.6583333329999999</v>
      </c>
      <c r="E441">
        <v>82.375</v>
      </c>
      <c r="F441">
        <v>6.875</v>
      </c>
    </row>
    <row r="442" spans="1:6" x14ac:dyDescent="0.2">
      <c r="A442" s="3">
        <v>44637</v>
      </c>
      <c r="B442">
        <v>6.5483333330000004</v>
      </c>
      <c r="C442">
        <v>0</v>
      </c>
      <c r="D442">
        <v>13.137499999999999</v>
      </c>
      <c r="E442">
        <v>46.541666669999998</v>
      </c>
      <c r="F442">
        <v>18.5</v>
      </c>
    </row>
    <row r="443" spans="1:6" x14ac:dyDescent="0.2">
      <c r="A443" s="3">
        <v>44638</v>
      </c>
      <c r="B443">
        <v>6.9173958329999996</v>
      </c>
      <c r="C443">
        <v>0</v>
      </c>
      <c r="D443">
        <v>11.737500000000001</v>
      </c>
      <c r="E443">
        <v>44.791666669999998</v>
      </c>
      <c r="F443">
        <v>45.708333330000002</v>
      </c>
    </row>
    <row r="444" spans="1:6" x14ac:dyDescent="0.2">
      <c r="A444" s="3">
        <v>44639</v>
      </c>
      <c r="B444">
        <v>5.7758333329999996</v>
      </c>
      <c r="C444">
        <v>0</v>
      </c>
      <c r="D444">
        <v>10.695833329999999</v>
      </c>
      <c r="E444">
        <v>40.875</v>
      </c>
      <c r="F444">
        <v>39.166666669999998</v>
      </c>
    </row>
    <row r="445" spans="1:6" x14ac:dyDescent="0.2">
      <c r="A445" s="3">
        <v>44640</v>
      </c>
      <c r="B445">
        <v>6.0820833329999999</v>
      </c>
      <c r="C445">
        <v>0</v>
      </c>
      <c r="D445">
        <v>10.275</v>
      </c>
      <c r="E445">
        <v>32.791666669999998</v>
      </c>
      <c r="F445">
        <v>28.323412699999999</v>
      </c>
    </row>
    <row r="446" spans="1:6" x14ac:dyDescent="0.2">
      <c r="A446" s="3">
        <v>44641</v>
      </c>
      <c r="B446">
        <v>7.232395833</v>
      </c>
      <c r="C446">
        <v>0</v>
      </c>
      <c r="D446">
        <v>10.050000000000001</v>
      </c>
      <c r="E446">
        <v>33.375</v>
      </c>
      <c r="F446">
        <v>22.916666670000001</v>
      </c>
    </row>
    <row r="447" spans="1:6" x14ac:dyDescent="0.2">
      <c r="A447" s="3">
        <v>44642</v>
      </c>
      <c r="B447">
        <v>7.5495833330000002</v>
      </c>
      <c r="C447">
        <v>0</v>
      </c>
      <c r="D447">
        <v>11.60416667</v>
      </c>
      <c r="E447">
        <v>34.125</v>
      </c>
      <c r="F447">
        <v>14.41666667</v>
      </c>
    </row>
    <row r="448" spans="1:6" x14ac:dyDescent="0.2">
      <c r="A448" s="3">
        <v>44643</v>
      </c>
      <c r="B448">
        <v>6.7840625000000001</v>
      </c>
      <c r="C448">
        <v>0</v>
      </c>
      <c r="D448">
        <v>13.45833333</v>
      </c>
      <c r="E448">
        <v>34</v>
      </c>
      <c r="F448">
        <v>10.58333333</v>
      </c>
    </row>
    <row r="449" spans="1:6" x14ac:dyDescent="0.2">
      <c r="A449" s="3">
        <v>44644</v>
      </c>
      <c r="B449">
        <v>6.9907291669999996</v>
      </c>
      <c r="C449">
        <v>0</v>
      </c>
      <c r="D449">
        <v>11.35416667</v>
      </c>
      <c r="E449">
        <v>61.833333330000002</v>
      </c>
      <c r="F449">
        <v>3.7083333330000001</v>
      </c>
    </row>
    <row r="450" spans="1:6" x14ac:dyDescent="0.2">
      <c r="A450" s="3">
        <v>44645</v>
      </c>
      <c r="B450">
        <v>6.350021345</v>
      </c>
      <c r="C450">
        <v>0</v>
      </c>
      <c r="D450">
        <v>12.20833333</v>
      </c>
      <c r="E450">
        <v>50.166666669999998</v>
      </c>
      <c r="F450">
        <v>3.9166666669999999</v>
      </c>
    </row>
    <row r="451" spans="1:6" x14ac:dyDescent="0.2">
      <c r="A451" s="3">
        <v>44646</v>
      </c>
      <c r="B451">
        <v>6.2336458329999997</v>
      </c>
      <c r="C451">
        <v>0</v>
      </c>
      <c r="D451">
        <v>15.25</v>
      </c>
      <c r="E451">
        <v>36.416666669999998</v>
      </c>
      <c r="F451">
        <v>7.875</v>
      </c>
    </row>
    <row r="452" spans="1:6" x14ac:dyDescent="0.2">
      <c r="A452" s="3">
        <v>44647</v>
      </c>
      <c r="B452">
        <v>5.9310869569999998</v>
      </c>
      <c r="C452">
        <v>0</v>
      </c>
      <c r="D452">
        <v>11.569565219999999</v>
      </c>
      <c r="E452">
        <v>68.130434780000002</v>
      </c>
      <c r="F452">
        <v>4.5217391300000003</v>
      </c>
    </row>
    <row r="453" spans="1:6" x14ac:dyDescent="0.2">
      <c r="A453" s="3">
        <v>44648</v>
      </c>
      <c r="B453">
        <v>7.5449999999999999</v>
      </c>
      <c r="C453">
        <v>4.1666669999999998E-3</v>
      </c>
      <c r="D453">
        <v>8.9499999999999993</v>
      </c>
      <c r="E453">
        <v>95.916666669999998</v>
      </c>
      <c r="F453">
        <v>8.0416666669999994</v>
      </c>
    </row>
    <row r="454" spans="1:6" x14ac:dyDescent="0.2">
      <c r="A454" s="3">
        <v>44649</v>
      </c>
      <c r="B454">
        <v>7.2779166670000004</v>
      </c>
      <c r="C454">
        <v>0</v>
      </c>
      <c r="D454">
        <v>11.045833330000001</v>
      </c>
      <c r="E454">
        <v>78.75744048</v>
      </c>
      <c r="F454">
        <v>8.9166666669999994</v>
      </c>
    </row>
    <row r="455" spans="1:6" x14ac:dyDescent="0.2">
      <c r="A455" s="3">
        <v>44650</v>
      </c>
      <c r="B455">
        <v>6.9334375000000001</v>
      </c>
      <c r="C455">
        <v>0.05</v>
      </c>
      <c r="D455">
        <v>12.3125</v>
      </c>
      <c r="E455">
        <v>78.541666669999998</v>
      </c>
      <c r="F455">
        <v>8.375</v>
      </c>
    </row>
    <row r="456" spans="1:6" x14ac:dyDescent="0.2">
      <c r="A456" s="3">
        <v>44651</v>
      </c>
      <c r="B456">
        <v>6.4719791669999998</v>
      </c>
      <c r="C456">
        <v>1.3208333329999999</v>
      </c>
      <c r="D456">
        <v>11.445833329999999</v>
      </c>
      <c r="E456">
        <v>87.041666669999998</v>
      </c>
      <c r="F456">
        <v>10.875</v>
      </c>
    </row>
    <row r="457" spans="1:6" x14ac:dyDescent="0.2">
      <c r="A457" s="3">
        <v>44652</v>
      </c>
      <c r="B457">
        <v>6.8068749999999998</v>
      </c>
      <c r="C457">
        <v>8.3333332999999996E-2</v>
      </c>
      <c r="D457">
        <v>11.5875</v>
      </c>
      <c r="E457">
        <v>83.958333330000002</v>
      </c>
      <c r="F457">
        <v>7.0416666670000003</v>
      </c>
    </row>
    <row r="458" spans="1:6" x14ac:dyDescent="0.2">
      <c r="A458" s="3">
        <v>44653</v>
      </c>
      <c r="B458">
        <v>6.0257291669999997</v>
      </c>
      <c r="C458">
        <v>4.1666666999999998E-2</v>
      </c>
      <c r="D458">
        <v>9.5166666670000009</v>
      </c>
      <c r="E458">
        <v>73.166666669999998</v>
      </c>
      <c r="F458">
        <v>13.75</v>
      </c>
    </row>
    <row r="459" spans="1:6" x14ac:dyDescent="0.2">
      <c r="A459" s="3">
        <v>44654</v>
      </c>
      <c r="B459">
        <v>6.2309374999999996</v>
      </c>
      <c r="C459">
        <v>0</v>
      </c>
      <c r="D459">
        <v>8.8249999999999993</v>
      </c>
      <c r="E459">
        <v>53.291666669999998</v>
      </c>
      <c r="F459">
        <v>25.541666670000001</v>
      </c>
    </row>
    <row r="460" spans="1:6" x14ac:dyDescent="0.2">
      <c r="A460" s="3">
        <v>44655</v>
      </c>
      <c r="B460">
        <v>7.3112500000000002</v>
      </c>
      <c r="C460">
        <v>0</v>
      </c>
      <c r="D460">
        <v>9.2624999999999993</v>
      </c>
      <c r="E460">
        <v>56.458333330000002</v>
      </c>
      <c r="F460">
        <v>9.9583333330000006</v>
      </c>
    </row>
    <row r="461" spans="1:6" x14ac:dyDescent="0.2">
      <c r="A461" s="3">
        <v>44656</v>
      </c>
      <c r="B461">
        <v>7.2769791670000004</v>
      </c>
      <c r="C461">
        <v>0</v>
      </c>
      <c r="D461">
        <v>10.21666667</v>
      </c>
      <c r="E461">
        <v>72</v>
      </c>
      <c r="F461">
        <v>7.5</v>
      </c>
    </row>
    <row r="462" spans="1:6" x14ac:dyDescent="0.2">
      <c r="A462" s="3">
        <v>44657</v>
      </c>
      <c r="B462">
        <v>7.1721874999999997</v>
      </c>
      <c r="C462">
        <v>0</v>
      </c>
      <c r="D462">
        <v>10.71666667</v>
      </c>
      <c r="E462">
        <v>68.75</v>
      </c>
      <c r="F462">
        <v>6.2083333329999997</v>
      </c>
    </row>
    <row r="463" spans="1:6" x14ac:dyDescent="0.2">
      <c r="A463" s="3">
        <v>44658</v>
      </c>
      <c r="B463">
        <v>6.99125</v>
      </c>
      <c r="C463">
        <v>0</v>
      </c>
      <c r="D463">
        <v>11.954166669999999</v>
      </c>
      <c r="E463">
        <v>75</v>
      </c>
      <c r="F463">
        <v>7.2916666670000003</v>
      </c>
    </row>
    <row r="464" spans="1:6" x14ac:dyDescent="0.2">
      <c r="A464" s="3">
        <v>44659</v>
      </c>
      <c r="B464">
        <v>6.6823958330000002</v>
      </c>
      <c r="C464">
        <v>0</v>
      </c>
      <c r="D464">
        <v>14.9125</v>
      </c>
      <c r="E464">
        <v>68.666666669999998</v>
      </c>
      <c r="F464">
        <v>17.083333329999999</v>
      </c>
    </row>
    <row r="465" spans="1:6" x14ac:dyDescent="0.2">
      <c r="A465" s="3">
        <v>44660</v>
      </c>
      <c r="B465">
        <v>5.5326041669999997</v>
      </c>
      <c r="C465">
        <v>9.5833333000000007E-2</v>
      </c>
      <c r="D465">
        <v>13.04166667</v>
      </c>
      <c r="E465">
        <v>65.416666669999998</v>
      </c>
      <c r="F465">
        <v>27.041666670000001</v>
      </c>
    </row>
    <row r="466" spans="1:6" x14ac:dyDescent="0.2">
      <c r="A466" s="3">
        <v>44661</v>
      </c>
      <c r="B466">
        <v>5.8297916670000003</v>
      </c>
      <c r="C466">
        <v>0</v>
      </c>
      <c r="D466">
        <v>9.4041666670000001</v>
      </c>
      <c r="E466">
        <v>56.958333330000002</v>
      </c>
      <c r="F466">
        <v>9.0833333330000006</v>
      </c>
    </row>
    <row r="467" spans="1:6" x14ac:dyDescent="0.2">
      <c r="A467" s="3">
        <v>44662</v>
      </c>
      <c r="B467">
        <v>7.3421874999999996</v>
      </c>
      <c r="C467">
        <v>0</v>
      </c>
      <c r="D467">
        <v>11.14583333</v>
      </c>
      <c r="E467">
        <v>59.5</v>
      </c>
      <c r="F467">
        <v>11.33333333</v>
      </c>
    </row>
    <row r="468" spans="1:6" x14ac:dyDescent="0.2">
      <c r="A468" s="3">
        <v>44663</v>
      </c>
      <c r="B468">
        <v>7.4990625</v>
      </c>
      <c r="C468">
        <v>0</v>
      </c>
      <c r="D468">
        <v>11.6</v>
      </c>
      <c r="E468">
        <v>65.833333330000002</v>
      </c>
      <c r="F468">
        <v>7.9166666670000003</v>
      </c>
    </row>
    <row r="469" spans="1:6" x14ac:dyDescent="0.2">
      <c r="A469" s="3">
        <v>44664</v>
      </c>
      <c r="B469">
        <v>6.493229167</v>
      </c>
      <c r="C469">
        <v>0</v>
      </c>
      <c r="D469">
        <v>12.53333333</v>
      </c>
      <c r="E469">
        <v>67.166666669999998</v>
      </c>
      <c r="F469">
        <v>3.9583333330000001</v>
      </c>
    </row>
    <row r="470" spans="1:6" x14ac:dyDescent="0.2">
      <c r="A470" s="3">
        <v>44665</v>
      </c>
      <c r="B470">
        <v>6.716770833</v>
      </c>
      <c r="C470">
        <v>0</v>
      </c>
      <c r="D470">
        <v>13.475</v>
      </c>
      <c r="E470">
        <v>74.916666669999998</v>
      </c>
      <c r="F470">
        <v>4.375</v>
      </c>
    </row>
    <row r="471" spans="1:6" x14ac:dyDescent="0.2">
      <c r="A471" s="3">
        <v>44666</v>
      </c>
      <c r="B471">
        <v>6.663125</v>
      </c>
      <c r="C471">
        <v>0</v>
      </c>
      <c r="D471">
        <v>14.108333330000001</v>
      </c>
      <c r="E471">
        <v>73.208333330000002</v>
      </c>
      <c r="F471">
        <v>5.9166666670000003</v>
      </c>
    </row>
    <row r="472" spans="1:6" x14ac:dyDescent="0.2">
      <c r="A472" s="3">
        <v>44667</v>
      </c>
      <c r="B472">
        <v>5.8470833329999996</v>
      </c>
      <c r="C472">
        <v>0</v>
      </c>
      <c r="D472">
        <v>16.362500000000001</v>
      </c>
      <c r="E472">
        <v>53.958333330000002</v>
      </c>
      <c r="F472">
        <v>32.958333330000002</v>
      </c>
    </row>
    <row r="473" spans="1:6" x14ac:dyDescent="0.2">
      <c r="A473" s="3">
        <v>44668</v>
      </c>
      <c r="B473">
        <v>6.1197916670000003</v>
      </c>
      <c r="C473">
        <v>0</v>
      </c>
      <c r="D473">
        <v>11.89583333</v>
      </c>
      <c r="E473">
        <v>35.666666669999998</v>
      </c>
      <c r="F473">
        <v>30.833333329999999</v>
      </c>
    </row>
    <row r="474" spans="1:6" x14ac:dyDescent="0.2">
      <c r="A474" s="3">
        <v>44669</v>
      </c>
      <c r="B474">
        <v>6.7969791669999999</v>
      </c>
      <c r="C474">
        <v>0</v>
      </c>
      <c r="D474">
        <v>12.59166667</v>
      </c>
      <c r="E474">
        <v>42.333333330000002</v>
      </c>
      <c r="F474">
        <v>19.541666670000001</v>
      </c>
    </row>
    <row r="475" spans="1:6" x14ac:dyDescent="0.2">
      <c r="A475" s="3">
        <v>44670</v>
      </c>
      <c r="B475">
        <v>7.9129166670000002</v>
      </c>
      <c r="C475">
        <v>0</v>
      </c>
      <c r="D475">
        <v>12.40833333</v>
      </c>
      <c r="E475">
        <v>51.708333330000002</v>
      </c>
      <c r="F475">
        <v>8.375</v>
      </c>
    </row>
    <row r="476" spans="1:6" x14ac:dyDescent="0.2">
      <c r="A476" s="3">
        <v>44671</v>
      </c>
      <c r="B476">
        <v>7.5425000000000004</v>
      </c>
      <c r="C476">
        <v>0</v>
      </c>
      <c r="D476">
        <v>11.6625</v>
      </c>
      <c r="E476">
        <v>53.75</v>
      </c>
      <c r="F476">
        <v>24.875</v>
      </c>
    </row>
    <row r="477" spans="1:6" x14ac:dyDescent="0.2">
      <c r="A477" s="3">
        <v>44672</v>
      </c>
      <c r="B477">
        <v>7.1117708329999996</v>
      </c>
      <c r="C477">
        <v>4.1666669999999998E-3</v>
      </c>
      <c r="D477">
        <v>11.512499999999999</v>
      </c>
      <c r="E477">
        <v>64.5</v>
      </c>
      <c r="F477">
        <v>7.0833333329999997</v>
      </c>
    </row>
    <row r="478" spans="1:6" x14ac:dyDescent="0.2">
      <c r="A478" s="3">
        <v>44673</v>
      </c>
      <c r="B478">
        <v>7.1692708329999997</v>
      </c>
      <c r="C478">
        <v>0.53749999999999998</v>
      </c>
      <c r="D478">
        <v>12.820833329999999</v>
      </c>
      <c r="E478">
        <v>78.208333330000002</v>
      </c>
      <c r="F478">
        <v>23.041666670000001</v>
      </c>
    </row>
    <row r="479" spans="1:6" x14ac:dyDescent="0.2">
      <c r="A479" s="3">
        <v>44674</v>
      </c>
      <c r="B479">
        <v>6.0525000000000002</v>
      </c>
      <c r="C479">
        <v>4.1666669999999998E-3</v>
      </c>
      <c r="D479">
        <v>12.9375</v>
      </c>
      <c r="E479">
        <v>88.541666669999998</v>
      </c>
      <c r="F479">
        <v>7.7916666670000003</v>
      </c>
    </row>
    <row r="480" spans="1:6" x14ac:dyDescent="0.2">
      <c r="A480" s="3">
        <v>44675</v>
      </c>
      <c r="B480">
        <v>5.9281249999999996</v>
      </c>
      <c r="C480">
        <v>0.125</v>
      </c>
      <c r="D480">
        <v>13.862500000000001</v>
      </c>
      <c r="E480">
        <v>76.25</v>
      </c>
      <c r="F480">
        <v>13.125</v>
      </c>
    </row>
    <row r="481" spans="1:6" x14ac:dyDescent="0.2">
      <c r="A481" s="3">
        <v>44676</v>
      </c>
      <c r="B481">
        <v>6.6685416670000004</v>
      </c>
      <c r="C481">
        <v>0</v>
      </c>
      <c r="D481">
        <v>13.175000000000001</v>
      </c>
      <c r="E481">
        <v>78</v>
      </c>
      <c r="F481">
        <v>9.875</v>
      </c>
    </row>
    <row r="482" spans="1:6" x14ac:dyDescent="0.2">
      <c r="A482" s="3">
        <v>44677</v>
      </c>
      <c r="B482">
        <v>7.6159375000000002</v>
      </c>
      <c r="C482">
        <v>9.5833333000000007E-2</v>
      </c>
      <c r="D482">
        <v>14.35416667</v>
      </c>
      <c r="E482">
        <v>77.458333330000002</v>
      </c>
      <c r="F482">
        <v>10.08333333</v>
      </c>
    </row>
    <row r="483" spans="1:6" x14ac:dyDescent="0.2">
      <c r="A483" s="3">
        <v>44678</v>
      </c>
      <c r="B483">
        <v>6.6045833329999999</v>
      </c>
      <c r="C483">
        <v>1.2500000000000001E-2</v>
      </c>
      <c r="D483">
        <v>15.43333333</v>
      </c>
      <c r="E483">
        <v>57.916666669999998</v>
      </c>
      <c r="F483">
        <v>23.25</v>
      </c>
    </row>
    <row r="484" spans="1:6" x14ac:dyDescent="0.2">
      <c r="A484" s="3">
        <v>44679</v>
      </c>
      <c r="B484">
        <v>6.7637499999999999</v>
      </c>
      <c r="C484">
        <v>0</v>
      </c>
      <c r="D484">
        <v>16.975000000000001</v>
      </c>
      <c r="E484">
        <v>40.958333330000002</v>
      </c>
      <c r="F484">
        <v>21.25</v>
      </c>
    </row>
    <row r="485" spans="1:6" x14ac:dyDescent="0.2">
      <c r="A485" s="3">
        <v>44680</v>
      </c>
      <c r="B485">
        <v>6.5795833330000004</v>
      </c>
      <c r="C485">
        <v>0</v>
      </c>
      <c r="D485">
        <v>17.804166670000001</v>
      </c>
      <c r="E485">
        <v>35.333333330000002</v>
      </c>
      <c r="F485">
        <v>20.375</v>
      </c>
    </row>
    <row r="486" spans="1:6" x14ac:dyDescent="0.2">
      <c r="A486" s="3">
        <v>44681</v>
      </c>
      <c r="B486">
        <v>6.1275000000000004</v>
      </c>
      <c r="C486">
        <v>0</v>
      </c>
      <c r="D486">
        <v>16.68333333</v>
      </c>
      <c r="E486">
        <v>45.208333330000002</v>
      </c>
      <c r="F486">
        <v>9.625</v>
      </c>
    </row>
    <row r="487" spans="1:6" x14ac:dyDescent="0.2">
      <c r="A487" s="3">
        <v>44682</v>
      </c>
      <c r="B487">
        <v>5.4413541670000001</v>
      </c>
      <c r="C487">
        <v>0.21249999999999999</v>
      </c>
      <c r="D487">
        <v>16.74583333</v>
      </c>
      <c r="E487">
        <v>53.125</v>
      </c>
      <c r="F487">
        <v>21.375</v>
      </c>
    </row>
    <row r="488" spans="1:6" x14ac:dyDescent="0.2">
      <c r="A488" s="3">
        <v>44683</v>
      </c>
      <c r="B488">
        <v>6.9591666669999999</v>
      </c>
      <c r="C488">
        <v>0</v>
      </c>
      <c r="D488">
        <v>17.399999999999999</v>
      </c>
      <c r="E488">
        <v>54.708333330000002</v>
      </c>
      <c r="F488">
        <v>24.083333329999999</v>
      </c>
    </row>
    <row r="489" spans="1:6" x14ac:dyDescent="0.2">
      <c r="A489" s="3">
        <v>44684</v>
      </c>
      <c r="B489">
        <v>7.2864583329999997</v>
      </c>
      <c r="C489">
        <v>0</v>
      </c>
      <c r="D489">
        <v>17.887499999999999</v>
      </c>
      <c r="E489">
        <v>51.75</v>
      </c>
      <c r="F489">
        <v>8.5</v>
      </c>
    </row>
    <row r="490" spans="1:6" x14ac:dyDescent="0.2">
      <c r="A490" s="3">
        <v>44685</v>
      </c>
      <c r="B490">
        <v>6.9041666670000001</v>
      </c>
      <c r="C490">
        <v>0</v>
      </c>
      <c r="D490">
        <v>16.195833329999999</v>
      </c>
      <c r="E490">
        <v>63.708333330000002</v>
      </c>
      <c r="F490">
        <v>7.0416666670000003</v>
      </c>
    </row>
    <row r="491" spans="1:6" x14ac:dyDescent="0.2">
      <c r="A491" s="3">
        <v>44686</v>
      </c>
      <c r="B491">
        <v>6.8028124999999999</v>
      </c>
      <c r="C491">
        <v>0</v>
      </c>
      <c r="D491">
        <v>16.141666669999999</v>
      </c>
      <c r="E491">
        <v>67.25</v>
      </c>
      <c r="F491">
        <v>6.0416666670000003</v>
      </c>
    </row>
    <row r="492" spans="1:6" x14ac:dyDescent="0.2">
      <c r="A492" s="3">
        <v>44687</v>
      </c>
      <c r="B492">
        <v>6.495104167</v>
      </c>
      <c r="C492">
        <v>0.14583333300000001</v>
      </c>
      <c r="D492">
        <v>15.53333333</v>
      </c>
      <c r="E492">
        <v>81.541666669999998</v>
      </c>
      <c r="F492">
        <v>8.375</v>
      </c>
    </row>
    <row r="493" spans="1:6" x14ac:dyDescent="0.2">
      <c r="A493" s="3">
        <v>44688</v>
      </c>
      <c r="B493">
        <v>5.7284375000000001</v>
      </c>
      <c r="C493">
        <v>5.4166667000000002E-2</v>
      </c>
      <c r="D493">
        <v>16.516666669999999</v>
      </c>
      <c r="E493">
        <v>78.041666669999998</v>
      </c>
      <c r="F493">
        <v>10.83333333</v>
      </c>
    </row>
    <row r="494" spans="1:6" x14ac:dyDescent="0.2">
      <c r="A494" s="3">
        <v>44689</v>
      </c>
      <c r="B494">
        <v>6.2243581240000001</v>
      </c>
      <c r="C494">
        <v>8.3333330000000001E-3</v>
      </c>
      <c r="D494">
        <v>19.274999999999999</v>
      </c>
      <c r="E494">
        <v>57.25</v>
      </c>
      <c r="F494">
        <v>27.541666670000001</v>
      </c>
    </row>
    <row r="495" spans="1:6" x14ac:dyDescent="0.2">
      <c r="A495" s="3">
        <v>44690</v>
      </c>
      <c r="B495">
        <v>7.2193750000000003</v>
      </c>
      <c r="C495">
        <v>4.1666669999999998E-3</v>
      </c>
      <c r="D495">
        <v>20.00416667</v>
      </c>
      <c r="E495">
        <v>54.583333330000002</v>
      </c>
      <c r="F495">
        <v>21.916666670000001</v>
      </c>
    </row>
    <row r="496" spans="1:6" x14ac:dyDescent="0.2">
      <c r="A496" s="3">
        <v>44691</v>
      </c>
      <c r="B496">
        <v>7.73</v>
      </c>
      <c r="C496">
        <v>0</v>
      </c>
      <c r="D496">
        <v>19.516666669999999</v>
      </c>
      <c r="E496">
        <v>60.958333330000002</v>
      </c>
      <c r="F496">
        <v>6.5</v>
      </c>
    </row>
    <row r="497" spans="1:6" x14ac:dyDescent="0.2">
      <c r="A497" s="3">
        <v>44692</v>
      </c>
      <c r="B497">
        <v>7.9718749999999998</v>
      </c>
      <c r="C497">
        <v>0</v>
      </c>
      <c r="D497">
        <v>19.345833330000001</v>
      </c>
      <c r="E497">
        <v>67.291666669999998</v>
      </c>
      <c r="F497">
        <v>4.25</v>
      </c>
    </row>
    <row r="498" spans="1:6" x14ac:dyDescent="0.2">
      <c r="A498" s="3">
        <v>44693</v>
      </c>
      <c r="B498">
        <v>8.0142708329999994</v>
      </c>
      <c r="C498">
        <v>0</v>
      </c>
      <c r="D498">
        <v>19.087499999999999</v>
      </c>
      <c r="E498">
        <v>72.5</v>
      </c>
      <c r="F498">
        <v>7.8333333329999997</v>
      </c>
    </row>
    <row r="499" spans="1:6" x14ac:dyDescent="0.2">
      <c r="A499" s="3">
        <v>44694</v>
      </c>
      <c r="B499">
        <v>8.4130208329999991</v>
      </c>
      <c r="C499">
        <v>0</v>
      </c>
      <c r="D499">
        <v>19.675000000000001</v>
      </c>
      <c r="E499">
        <v>74.208333330000002</v>
      </c>
      <c r="F499">
        <v>5.3333333329999997</v>
      </c>
    </row>
    <row r="500" spans="1:6" x14ac:dyDescent="0.2">
      <c r="A500" s="3">
        <v>44695</v>
      </c>
      <c r="B500">
        <v>8.6094791669999999</v>
      </c>
      <c r="C500">
        <v>0</v>
      </c>
      <c r="D500">
        <v>22.3</v>
      </c>
      <c r="E500">
        <v>63.875</v>
      </c>
      <c r="F500">
        <v>9</v>
      </c>
    </row>
    <row r="501" spans="1:6" x14ac:dyDescent="0.2">
      <c r="A501" s="3">
        <v>44696</v>
      </c>
      <c r="B501">
        <v>8.623020833</v>
      </c>
      <c r="C501">
        <v>0</v>
      </c>
      <c r="D501">
        <v>22.533333330000001</v>
      </c>
      <c r="E501">
        <v>60.5</v>
      </c>
      <c r="F501">
        <v>6.0416666670000003</v>
      </c>
    </row>
    <row r="502" spans="1:6" x14ac:dyDescent="0.2">
      <c r="A502" s="3">
        <v>44697</v>
      </c>
      <c r="B502">
        <v>9.8589583330000004</v>
      </c>
      <c r="C502">
        <v>4.1666669999999998E-3</v>
      </c>
      <c r="D502">
        <v>21.475000000000001</v>
      </c>
      <c r="E502">
        <v>69.333333330000002</v>
      </c>
      <c r="F502">
        <v>8.375</v>
      </c>
    </row>
    <row r="503" spans="1:6" x14ac:dyDescent="0.2">
      <c r="A503" s="3">
        <v>44698</v>
      </c>
      <c r="B503">
        <v>10.38260417</v>
      </c>
      <c r="C503">
        <v>3.7499999999999999E-2</v>
      </c>
      <c r="D503">
        <v>21.262499999999999</v>
      </c>
      <c r="E503">
        <v>77.541666669999998</v>
      </c>
      <c r="F503">
        <v>5.9166666670000003</v>
      </c>
    </row>
    <row r="504" spans="1:6" x14ac:dyDescent="0.2">
      <c r="A504" s="3">
        <v>44699</v>
      </c>
      <c r="B504">
        <v>10.55727175</v>
      </c>
      <c r="C504">
        <v>0</v>
      </c>
      <c r="D504">
        <v>22.904166669999999</v>
      </c>
      <c r="E504">
        <v>45.958333330000002</v>
      </c>
      <c r="F504">
        <v>18.916666670000001</v>
      </c>
    </row>
    <row r="505" spans="1:6" x14ac:dyDescent="0.2">
      <c r="A505" s="3">
        <v>44700</v>
      </c>
      <c r="B505">
        <v>10.95541667</v>
      </c>
      <c r="C505">
        <v>0</v>
      </c>
      <c r="D505">
        <v>19.970833330000001</v>
      </c>
      <c r="E505">
        <v>49.791666669999998</v>
      </c>
      <c r="F505">
        <v>12.58333333</v>
      </c>
    </row>
    <row r="506" spans="1:6" x14ac:dyDescent="0.2">
      <c r="A506" s="3">
        <v>44701</v>
      </c>
      <c r="B506">
        <v>10.50416667</v>
      </c>
      <c r="C506">
        <v>0</v>
      </c>
      <c r="D506">
        <v>19.55</v>
      </c>
      <c r="E506">
        <v>58.625</v>
      </c>
      <c r="F506">
        <v>6</v>
      </c>
    </row>
    <row r="507" spans="1:6" x14ac:dyDescent="0.2">
      <c r="A507" s="3">
        <v>44702</v>
      </c>
      <c r="B507">
        <v>10.861770829999999</v>
      </c>
      <c r="C507">
        <v>0</v>
      </c>
      <c r="D507">
        <v>20.716666669999999</v>
      </c>
      <c r="E507">
        <v>64.208333330000002</v>
      </c>
      <c r="F507">
        <v>6</v>
      </c>
    </row>
    <row r="508" spans="1:6" x14ac:dyDescent="0.2">
      <c r="A508" s="3">
        <v>44703</v>
      </c>
      <c r="B508">
        <v>10.30627264</v>
      </c>
      <c r="C508">
        <v>0</v>
      </c>
      <c r="D508">
        <v>22.875</v>
      </c>
      <c r="E508">
        <v>68.958333330000002</v>
      </c>
      <c r="F508">
        <v>8</v>
      </c>
    </row>
    <row r="509" spans="1:6" x14ac:dyDescent="0.2">
      <c r="A509" s="3">
        <v>44704</v>
      </c>
      <c r="B509">
        <v>11.22885417</v>
      </c>
      <c r="C509">
        <v>2.0833332999999999E-2</v>
      </c>
      <c r="D509">
        <v>22.845833330000001</v>
      </c>
      <c r="E509">
        <v>73</v>
      </c>
      <c r="F509">
        <v>12.16666667</v>
      </c>
    </row>
    <row r="510" spans="1:6" x14ac:dyDescent="0.2">
      <c r="A510" s="3">
        <v>44705</v>
      </c>
      <c r="B510">
        <v>11.147187499999999</v>
      </c>
      <c r="C510">
        <v>0</v>
      </c>
      <c r="D510">
        <v>23.270833329999999</v>
      </c>
      <c r="E510">
        <v>65.067672680000001</v>
      </c>
      <c r="F510">
        <v>12.20833333</v>
      </c>
    </row>
    <row r="511" spans="1:6" x14ac:dyDescent="0.2">
      <c r="A511" s="3">
        <v>44706</v>
      </c>
      <c r="B511">
        <v>11.33260417</v>
      </c>
      <c r="C511">
        <v>0</v>
      </c>
      <c r="D511">
        <v>22.320833329999999</v>
      </c>
      <c r="E511">
        <v>72.855168430000006</v>
      </c>
      <c r="F511">
        <v>10.16666667</v>
      </c>
    </row>
    <row r="512" spans="1:6" x14ac:dyDescent="0.2">
      <c r="A512" s="3">
        <v>44707</v>
      </c>
      <c r="B512">
        <v>12.209270829999999</v>
      </c>
      <c r="C512">
        <v>0</v>
      </c>
      <c r="D512">
        <v>22.895833329999999</v>
      </c>
      <c r="E512">
        <v>63.016964719999997</v>
      </c>
      <c r="F512">
        <v>9.9583333330000006</v>
      </c>
    </row>
    <row r="513" spans="1:6" x14ac:dyDescent="0.2">
      <c r="A513" s="3">
        <v>44708</v>
      </c>
      <c r="B513">
        <v>11.68541667</v>
      </c>
      <c r="C513">
        <v>0</v>
      </c>
      <c r="D513">
        <v>22.75</v>
      </c>
      <c r="E513">
        <v>72</v>
      </c>
      <c r="F513">
        <v>5.9583333329999997</v>
      </c>
    </row>
    <row r="514" spans="1:6" x14ac:dyDescent="0.2">
      <c r="A514" s="3">
        <v>44709</v>
      </c>
      <c r="B514">
        <v>8.8553125000000001</v>
      </c>
      <c r="C514">
        <v>5.4166667000000002E-2</v>
      </c>
      <c r="D514">
        <v>19.695833329999999</v>
      </c>
      <c r="E514">
        <v>61.833333330000002</v>
      </c>
      <c r="F514">
        <v>33.708333330000002</v>
      </c>
    </row>
    <row r="515" spans="1:6" x14ac:dyDescent="0.2">
      <c r="A515" s="3">
        <v>44710</v>
      </c>
      <c r="B515">
        <v>9.2048958330000001</v>
      </c>
      <c r="C515">
        <v>1.2500000000000001E-2</v>
      </c>
      <c r="D515">
        <v>15.475</v>
      </c>
      <c r="E515">
        <v>61.666666669999998</v>
      </c>
      <c r="F515">
        <v>44.875</v>
      </c>
    </row>
    <row r="516" spans="1:6" x14ac:dyDescent="0.2">
      <c r="A516" s="3">
        <v>44711</v>
      </c>
      <c r="B516">
        <v>10.296250000000001</v>
      </c>
      <c r="C516">
        <v>0</v>
      </c>
      <c r="D516">
        <v>16.529166669999999</v>
      </c>
      <c r="E516">
        <v>65.958333330000002</v>
      </c>
      <c r="F516">
        <v>19.5</v>
      </c>
    </row>
    <row r="517" spans="1:6" x14ac:dyDescent="0.2">
      <c r="A517" s="3">
        <v>44712</v>
      </c>
      <c r="B517">
        <v>10.09125</v>
      </c>
      <c r="C517">
        <v>0</v>
      </c>
      <c r="D517">
        <v>19.791666670000001</v>
      </c>
      <c r="E517">
        <v>68.958333330000002</v>
      </c>
      <c r="F517">
        <v>9.4166666669999994</v>
      </c>
    </row>
    <row r="518" spans="1:6" x14ac:dyDescent="0.2">
      <c r="A518" s="3">
        <v>44713</v>
      </c>
      <c r="B518">
        <v>9.2916666669999994</v>
      </c>
      <c r="C518">
        <v>0</v>
      </c>
      <c r="D518">
        <v>21.195833329999999</v>
      </c>
      <c r="E518">
        <v>77.375</v>
      </c>
      <c r="F518">
        <v>5.7083333329999997</v>
      </c>
    </row>
    <row r="519" spans="1:6" x14ac:dyDescent="0.2">
      <c r="A519" s="3">
        <v>44714</v>
      </c>
      <c r="B519">
        <v>8.9768749999999997</v>
      </c>
      <c r="C519">
        <v>0</v>
      </c>
      <c r="D519">
        <v>22.412500000000001</v>
      </c>
      <c r="E519">
        <v>77.125</v>
      </c>
      <c r="F519">
        <v>5.125</v>
      </c>
    </row>
    <row r="520" spans="1:6" x14ac:dyDescent="0.2">
      <c r="A520" s="3">
        <v>44715</v>
      </c>
      <c r="B520">
        <v>9.0850000000000009</v>
      </c>
      <c r="C520">
        <v>3.3333333E-2</v>
      </c>
      <c r="D520">
        <v>24.087499999999999</v>
      </c>
      <c r="E520">
        <v>67.416666669999998</v>
      </c>
      <c r="F520">
        <v>13.29166667</v>
      </c>
    </row>
    <row r="521" spans="1:6" x14ac:dyDescent="0.2">
      <c r="A521" s="3">
        <v>44716</v>
      </c>
      <c r="B521">
        <v>7.7804166669999999</v>
      </c>
      <c r="C521">
        <v>0</v>
      </c>
      <c r="D521">
        <v>23.108333330000001</v>
      </c>
      <c r="E521">
        <v>74.875</v>
      </c>
      <c r="F521">
        <v>6.3333333329999997</v>
      </c>
    </row>
    <row r="522" spans="1:6" x14ac:dyDescent="0.2">
      <c r="A522" s="3">
        <v>44717</v>
      </c>
      <c r="B522">
        <v>8.0997916669999999</v>
      </c>
      <c r="C522">
        <v>0</v>
      </c>
      <c r="D522">
        <v>24.383333329999999</v>
      </c>
      <c r="E522">
        <v>71.583333330000002</v>
      </c>
      <c r="F522">
        <v>6.25</v>
      </c>
    </row>
    <row r="523" spans="1:6" x14ac:dyDescent="0.2">
      <c r="A523" s="3">
        <v>44718</v>
      </c>
      <c r="B523">
        <v>9.9685416670000002</v>
      </c>
      <c r="C523">
        <v>2.0833332999999999E-2</v>
      </c>
      <c r="D523">
        <v>25.15</v>
      </c>
      <c r="E523">
        <v>58.041666669999998</v>
      </c>
      <c r="F523">
        <v>16.708333329999999</v>
      </c>
    </row>
    <row r="524" spans="1:6" x14ac:dyDescent="0.2">
      <c r="A524" s="3">
        <v>44719</v>
      </c>
      <c r="B524">
        <v>10.1109375</v>
      </c>
      <c r="C524">
        <v>0.76249999999999996</v>
      </c>
      <c r="D524">
        <v>24.395833329999999</v>
      </c>
      <c r="E524">
        <v>58.916666669999998</v>
      </c>
      <c r="F524">
        <v>11.375</v>
      </c>
    </row>
    <row r="525" spans="1:6" x14ac:dyDescent="0.2">
      <c r="A525" s="3">
        <v>44720</v>
      </c>
      <c r="B525">
        <v>8.5835416670000004</v>
      </c>
      <c r="C525">
        <v>0.304166667</v>
      </c>
      <c r="D525">
        <v>22.1</v>
      </c>
      <c r="E525">
        <v>61.875</v>
      </c>
      <c r="F525">
        <v>16.166666670000001</v>
      </c>
    </row>
    <row r="526" spans="1:6" x14ac:dyDescent="0.2">
      <c r="A526" s="3">
        <v>44721</v>
      </c>
      <c r="B526">
        <v>8.6246875000000003</v>
      </c>
      <c r="C526">
        <v>0.47499999999999998</v>
      </c>
      <c r="D526">
        <v>19.958333329999999</v>
      </c>
      <c r="E526">
        <v>73.708333330000002</v>
      </c>
      <c r="F526">
        <v>13.79166667</v>
      </c>
    </row>
    <row r="527" spans="1:6" x14ac:dyDescent="0.2">
      <c r="A527" s="3">
        <v>44722</v>
      </c>
      <c r="B527">
        <v>8.9622916670000006</v>
      </c>
      <c r="C527">
        <v>0</v>
      </c>
      <c r="D527">
        <v>24.479166670000001</v>
      </c>
      <c r="E527">
        <v>38.708333330000002</v>
      </c>
      <c r="F527">
        <v>17.958333329999999</v>
      </c>
    </row>
    <row r="528" spans="1:6" x14ac:dyDescent="0.2">
      <c r="A528" s="3">
        <v>44723</v>
      </c>
      <c r="B528">
        <v>8.9054166670000008</v>
      </c>
      <c r="C528">
        <v>0</v>
      </c>
      <c r="D528">
        <v>23.5625</v>
      </c>
      <c r="E528">
        <v>55.26971374</v>
      </c>
      <c r="F528">
        <v>10.66666667</v>
      </c>
    </row>
    <row r="529" spans="1:6" x14ac:dyDescent="0.2">
      <c r="A529" s="3">
        <v>44724</v>
      </c>
      <c r="B529">
        <v>7.7249999999999996</v>
      </c>
      <c r="C529">
        <v>0</v>
      </c>
      <c r="D529">
        <v>23.916666670000001</v>
      </c>
      <c r="E529">
        <v>56.49676977</v>
      </c>
      <c r="F529">
        <v>6.375</v>
      </c>
    </row>
    <row r="530" spans="1:6" x14ac:dyDescent="0.2">
      <c r="A530" s="3">
        <v>44725</v>
      </c>
      <c r="B530">
        <v>9.2662499999999994</v>
      </c>
      <c r="C530">
        <v>0</v>
      </c>
      <c r="D530">
        <v>23.845833330000001</v>
      </c>
      <c r="E530">
        <v>63.684145030000003</v>
      </c>
      <c r="F530">
        <v>5.3333333329999997</v>
      </c>
    </row>
    <row r="531" spans="1:6" x14ac:dyDescent="0.2">
      <c r="A531" s="3">
        <v>44726</v>
      </c>
      <c r="B531">
        <v>9.4966666669999995</v>
      </c>
      <c r="C531">
        <v>1.6666667E-2</v>
      </c>
      <c r="D531">
        <v>24.570833329999999</v>
      </c>
      <c r="E531">
        <v>49.875</v>
      </c>
      <c r="F531">
        <v>24.416666670000001</v>
      </c>
    </row>
    <row r="532" spans="1:6" x14ac:dyDescent="0.2">
      <c r="A532" s="3">
        <v>44727</v>
      </c>
      <c r="B532">
        <v>10.20052083</v>
      </c>
      <c r="C532">
        <v>0</v>
      </c>
      <c r="D532">
        <v>22.93333333</v>
      </c>
      <c r="E532">
        <v>68.791666669999998</v>
      </c>
      <c r="F532">
        <v>6.0416666670000003</v>
      </c>
    </row>
    <row r="533" spans="1:6" x14ac:dyDescent="0.2">
      <c r="A533" s="3">
        <v>44728</v>
      </c>
      <c r="B533">
        <v>9.7114583329999995</v>
      </c>
      <c r="C533">
        <v>0</v>
      </c>
      <c r="D533">
        <v>23.729166670000001</v>
      </c>
      <c r="E533">
        <v>68.041666669999998</v>
      </c>
      <c r="F533">
        <v>6.0416666670000003</v>
      </c>
    </row>
    <row r="534" spans="1:6" x14ac:dyDescent="0.2">
      <c r="A534" s="3">
        <v>44729</v>
      </c>
      <c r="B534">
        <v>10.06260417</v>
      </c>
      <c r="C534">
        <v>4.5833332999999997E-2</v>
      </c>
      <c r="D534">
        <v>26.570833329999999</v>
      </c>
      <c r="E534">
        <v>48.541666669999998</v>
      </c>
      <c r="F534">
        <v>12.20833333</v>
      </c>
    </row>
    <row r="535" spans="1:6" x14ac:dyDescent="0.2">
      <c r="A535" s="3">
        <v>44730</v>
      </c>
      <c r="B535">
        <v>10.198229169999999</v>
      </c>
      <c r="C535">
        <v>0</v>
      </c>
      <c r="D535">
        <v>24.783333330000001</v>
      </c>
      <c r="E535">
        <v>58.708333330000002</v>
      </c>
      <c r="F535">
        <v>11.41666667</v>
      </c>
    </row>
    <row r="536" spans="1:6" x14ac:dyDescent="0.2">
      <c r="A536" s="3">
        <v>44731</v>
      </c>
      <c r="B536">
        <v>9.4261458329999996</v>
      </c>
      <c r="C536">
        <v>0</v>
      </c>
      <c r="D536">
        <v>24.387499999999999</v>
      </c>
      <c r="E536">
        <v>64.333333330000002</v>
      </c>
      <c r="F536">
        <v>8.375</v>
      </c>
    </row>
    <row r="537" spans="1:6" x14ac:dyDescent="0.2">
      <c r="A537" s="3">
        <v>44732</v>
      </c>
      <c r="B537">
        <v>11.29166667</v>
      </c>
      <c r="C537">
        <v>0</v>
      </c>
      <c r="D537">
        <v>24.18333333</v>
      </c>
      <c r="E537">
        <v>63.083333330000002</v>
      </c>
      <c r="F537">
        <v>8.6666666669999994</v>
      </c>
    </row>
    <row r="538" spans="1:6" x14ac:dyDescent="0.2">
      <c r="A538" s="3">
        <v>44733</v>
      </c>
      <c r="B538">
        <v>11.39492838</v>
      </c>
      <c r="C538">
        <v>0</v>
      </c>
      <c r="D538">
        <v>25.604166670000001</v>
      </c>
      <c r="E538">
        <v>68.416666669999998</v>
      </c>
      <c r="F538">
        <v>10.91666667</v>
      </c>
    </row>
    <row r="539" spans="1:6" x14ac:dyDescent="0.2">
      <c r="A539" s="3">
        <v>44734</v>
      </c>
      <c r="B539">
        <v>11.32583333</v>
      </c>
      <c r="C539">
        <v>9.1666666999999993E-2</v>
      </c>
      <c r="D539">
        <v>25.375</v>
      </c>
      <c r="E539">
        <v>77.243055560000002</v>
      </c>
      <c r="F539">
        <v>9.3333333330000006</v>
      </c>
    </row>
    <row r="540" spans="1:6" x14ac:dyDescent="0.2">
      <c r="A540" s="3">
        <v>44735</v>
      </c>
      <c r="B540">
        <v>11.212291670000001</v>
      </c>
      <c r="C540">
        <v>0</v>
      </c>
      <c r="D540">
        <v>25.770833329999999</v>
      </c>
      <c r="E540">
        <v>72.416666669999998</v>
      </c>
      <c r="F540">
        <v>9.125</v>
      </c>
    </row>
    <row r="541" spans="1:6" x14ac:dyDescent="0.2">
      <c r="A541" s="3">
        <v>44736</v>
      </c>
      <c r="B541">
        <v>10.61604167</v>
      </c>
      <c r="C541">
        <v>2.0833332999999999E-2</v>
      </c>
      <c r="D541">
        <v>26.470833330000001</v>
      </c>
      <c r="E541">
        <v>65.083333330000002</v>
      </c>
      <c r="F541">
        <v>12.16666667</v>
      </c>
    </row>
    <row r="542" spans="1:6" x14ac:dyDescent="0.2">
      <c r="A542" s="3">
        <v>44737</v>
      </c>
      <c r="B542">
        <v>10.176979169999999</v>
      </c>
      <c r="C542">
        <v>0</v>
      </c>
      <c r="D542">
        <v>25.733333330000001</v>
      </c>
      <c r="E542">
        <v>64.458333330000002</v>
      </c>
      <c r="F542">
        <v>13.58333333</v>
      </c>
    </row>
    <row r="543" spans="1:6" x14ac:dyDescent="0.2">
      <c r="A543" s="3">
        <v>44738</v>
      </c>
      <c r="B543">
        <v>9.3969791669999996</v>
      </c>
      <c r="C543">
        <v>0</v>
      </c>
      <c r="D543">
        <v>25.841666669999999</v>
      </c>
      <c r="E543">
        <v>60.464499770000003</v>
      </c>
      <c r="F543">
        <v>8.375</v>
      </c>
    </row>
    <row r="544" spans="1:6" x14ac:dyDescent="0.2">
      <c r="A544" s="3">
        <v>44739</v>
      </c>
      <c r="B544">
        <v>11.92447917</v>
      </c>
      <c r="C544">
        <v>0</v>
      </c>
      <c r="D544">
        <v>27.304166670000001</v>
      </c>
      <c r="E544">
        <v>57.167458670000002</v>
      </c>
      <c r="F544">
        <v>7</v>
      </c>
    </row>
    <row r="545" spans="1:6" x14ac:dyDescent="0.2">
      <c r="A545" s="3">
        <v>44740</v>
      </c>
      <c r="B545">
        <v>12.520208330000001</v>
      </c>
      <c r="C545">
        <v>0</v>
      </c>
      <c r="D545">
        <v>29.15</v>
      </c>
      <c r="E545">
        <v>51.385716070000001</v>
      </c>
      <c r="F545">
        <v>11.25</v>
      </c>
    </row>
    <row r="546" spans="1:6" x14ac:dyDescent="0.2">
      <c r="A546" s="3">
        <v>44741</v>
      </c>
      <c r="B546">
        <v>12.40229167</v>
      </c>
      <c r="C546">
        <v>1.2500000000000001E-2</v>
      </c>
      <c r="D546">
        <v>26.929166670000001</v>
      </c>
      <c r="E546">
        <v>67.166666669999998</v>
      </c>
      <c r="F546">
        <v>15.625</v>
      </c>
    </row>
    <row r="547" spans="1:6" x14ac:dyDescent="0.2">
      <c r="A547" s="3">
        <v>44742</v>
      </c>
      <c r="B547">
        <v>11.843125000000001</v>
      </c>
      <c r="C547">
        <v>0</v>
      </c>
      <c r="D547">
        <v>26.079166669999999</v>
      </c>
      <c r="E547">
        <v>70.75</v>
      </c>
      <c r="F547">
        <v>7.7916666670000003</v>
      </c>
    </row>
    <row r="548" spans="1:6" x14ac:dyDescent="0.2">
      <c r="A548" s="3">
        <v>44743</v>
      </c>
      <c r="B548">
        <v>12.2734375</v>
      </c>
      <c r="C548">
        <v>0</v>
      </c>
      <c r="D548">
        <v>26.95</v>
      </c>
      <c r="E548">
        <v>69.25</v>
      </c>
      <c r="F548">
        <v>11.04166667</v>
      </c>
    </row>
    <row r="549" spans="1:6" x14ac:dyDescent="0.2">
      <c r="A549" s="3">
        <v>44744</v>
      </c>
      <c r="B549">
        <v>11.6078125</v>
      </c>
      <c r="C549">
        <v>0</v>
      </c>
      <c r="D549">
        <v>28.37916667</v>
      </c>
      <c r="E549">
        <v>57.541666669999998</v>
      </c>
      <c r="F549">
        <v>18.375</v>
      </c>
    </row>
    <row r="550" spans="1:6" x14ac:dyDescent="0.2">
      <c r="A550" s="3">
        <v>44745</v>
      </c>
      <c r="B550">
        <v>11.2359375</v>
      </c>
      <c r="C550">
        <v>0</v>
      </c>
      <c r="D550">
        <v>27.920833330000001</v>
      </c>
      <c r="E550">
        <v>52.625</v>
      </c>
      <c r="F550">
        <v>11.875</v>
      </c>
    </row>
    <row r="551" spans="1:6" x14ac:dyDescent="0.2">
      <c r="A551" s="3">
        <v>44746</v>
      </c>
      <c r="B551">
        <v>12.583020830000001</v>
      </c>
      <c r="C551">
        <v>0</v>
      </c>
      <c r="D551">
        <v>29.545833330000001</v>
      </c>
      <c r="E551">
        <v>47.666666669999998</v>
      </c>
      <c r="F551">
        <v>10.45833333</v>
      </c>
    </row>
    <row r="552" spans="1:6" x14ac:dyDescent="0.2">
      <c r="A552" s="3">
        <v>44747</v>
      </c>
      <c r="B552">
        <v>12.261354170000001</v>
      </c>
      <c r="C552">
        <v>0</v>
      </c>
      <c r="D552">
        <v>28.695833329999999</v>
      </c>
      <c r="E552">
        <v>51.583333330000002</v>
      </c>
      <c r="F552">
        <v>16.916666670000001</v>
      </c>
    </row>
    <row r="553" spans="1:6" x14ac:dyDescent="0.2">
      <c r="A553" s="3">
        <v>44748</v>
      </c>
      <c r="B553">
        <v>12.8021875</v>
      </c>
      <c r="C553">
        <v>0</v>
      </c>
      <c r="D553">
        <v>27.6875</v>
      </c>
      <c r="E553">
        <v>50.166666669999998</v>
      </c>
      <c r="F553">
        <v>18.416666670000001</v>
      </c>
    </row>
    <row r="554" spans="1:6" x14ac:dyDescent="0.2">
      <c r="A554" s="3">
        <v>44749</v>
      </c>
      <c r="B554">
        <v>9.8139583330000004</v>
      </c>
      <c r="C554">
        <v>0.30833333299999999</v>
      </c>
      <c r="D554">
        <v>24.520833329999999</v>
      </c>
      <c r="E554">
        <v>55.125</v>
      </c>
      <c r="F554">
        <v>22.291666670000001</v>
      </c>
    </row>
    <row r="555" spans="1:6" x14ac:dyDescent="0.2">
      <c r="A555" s="3">
        <v>44750</v>
      </c>
      <c r="B555">
        <v>9.1916666669999998</v>
      </c>
      <c r="C555">
        <v>0</v>
      </c>
      <c r="D555">
        <v>23.708333329999999</v>
      </c>
      <c r="E555">
        <v>51.791666669999998</v>
      </c>
      <c r="F555">
        <v>32.708333330000002</v>
      </c>
    </row>
    <row r="556" spans="1:6" x14ac:dyDescent="0.2">
      <c r="A556" s="3">
        <v>44751</v>
      </c>
      <c r="B556">
        <v>8.5545833330000001</v>
      </c>
      <c r="C556">
        <v>0</v>
      </c>
      <c r="D556">
        <v>23.741666670000001</v>
      </c>
      <c r="E556">
        <v>45.958333330000002</v>
      </c>
      <c r="F556">
        <v>21.083333329999999</v>
      </c>
    </row>
    <row r="557" spans="1:6" x14ac:dyDescent="0.2">
      <c r="A557" s="3">
        <v>44752</v>
      </c>
      <c r="B557">
        <v>8.5122916669999995</v>
      </c>
      <c r="C557">
        <v>0</v>
      </c>
      <c r="D557">
        <v>24.125</v>
      </c>
      <c r="E557">
        <v>54.791666669999998</v>
      </c>
      <c r="F557">
        <v>7.75</v>
      </c>
    </row>
    <row r="558" spans="1:6" x14ac:dyDescent="0.2">
      <c r="A558" s="3">
        <v>44753</v>
      </c>
      <c r="B558">
        <v>9.6162500000000009</v>
      </c>
      <c r="C558">
        <v>0</v>
      </c>
      <c r="D558">
        <v>23.204166669999999</v>
      </c>
      <c r="E558">
        <v>52.958333330000002</v>
      </c>
      <c r="F558">
        <v>14.83333333</v>
      </c>
    </row>
    <row r="559" spans="1:6" x14ac:dyDescent="0.2">
      <c r="A559" s="3">
        <v>44754</v>
      </c>
      <c r="B559">
        <v>9.7259375000000006</v>
      </c>
      <c r="C559">
        <v>2.0833332999999999E-2</v>
      </c>
      <c r="D559">
        <v>23.875</v>
      </c>
      <c r="E559">
        <v>53.541666669999998</v>
      </c>
      <c r="F559">
        <v>12.54166667</v>
      </c>
    </row>
    <row r="560" spans="1:6" x14ac:dyDescent="0.2">
      <c r="A560" s="3">
        <v>44755</v>
      </c>
      <c r="B560">
        <v>9.6761458329999996</v>
      </c>
      <c r="C560">
        <v>0</v>
      </c>
      <c r="D560">
        <v>23.779166669999999</v>
      </c>
      <c r="E560">
        <v>56.083333330000002</v>
      </c>
      <c r="F560">
        <v>8.7083333330000006</v>
      </c>
    </row>
    <row r="561" spans="1:6" x14ac:dyDescent="0.2">
      <c r="A561" s="3">
        <v>44756</v>
      </c>
      <c r="B561">
        <v>9.9594791669999996</v>
      </c>
      <c r="C561">
        <v>0</v>
      </c>
      <c r="D561">
        <v>25.083333329999999</v>
      </c>
      <c r="E561">
        <v>63.458333330000002</v>
      </c>
      <c r="F561">
        <v>5.0416666670000003</v>
      </c>
    </row>
    <row r="562" spans="1:6" x14ac:dyDescent="0.2">
      <c r="A562" s="3">
        <v>44757</v>
      </c>
      <c r="B562">
        <v>10.18364583</v>
      </c>
      <c r="C562">
        <v>0</v>
      </c>
      <c r="D562">
        <v>26.166666670000001</v>
      </c>
      <c r="E562">
        <v>51.916666669999998</v>
      </c>
      <c r="F562">
        <v>9.5</v>
      </c>
    </row>
    <row r="563" spans="1:6" x14ac:dyDescent="0.2">
      <c r="A563" s="3">
        <v>44758</v>
      </c>
      <c r="B563">
        <v>9.5687499999999996</v>
      </c>
      <c r="C563">
        <v>0</v>
      </c>
      <c r="D563">
        <v>26.579166669999999</v>
      </c>
      <c r="E563">
        <v>53.791666669999998</v>
      </c>
      <c r="F563">
        <v>21.25</v>
      </c>
    </row>
    <row r="564" spans="1:6" x14ac:dyDescent="0.2">
      <c r="A564" s="3">
        <v>44759</v>
      </c>
      <c r="B564">
        <v>9.4885416669999998</v>
      </c>
      <c r="C564">
        <v>1.2500000000000001E-2</v>
      </c>
      <c r="D564">
        <v>27.824999999999999</v>
      </c>
      <c r="E564">
        <v>43.291666669999998</v>
      </c>
      <c r="F564">
        <v>36.333333330000002</v>
      </c>
    </row>
    <row r="565" spans="1:6" x14ac:dyDescent="0.2">
      <c r="A565" s="3">
        <v>44760</v>
      </c>
      <c r="B565">
        <v>11.10166667</v>
      </c>
      <c r="C565">
        <v>0</v>
      </c>
      <c r="D565">
        <v>27.31666667</v>
      </c>
      <c r="E565">
        <v>45.708333330000002</v>
      </c>
      <c r="F565">
        <v>15.79166667</v>
      </c>
    </row>
    <row r="566" spans="1:6" x14ac:dyDescent="0.2">
      <c r="A566" s="3">
        <v>44761</v>
      </c>
      <c r="B566">
        <v>11.051562499999999</v>
      </c>
      <c r="C566">
        <v>0</v>
      </c>
      <c r="D566">
        <v>28.345833330000001</v>
      </c>
      <c r="E566">
        <v>38.166666669999998</v>
      </c>
      <c r="F566">
        <v>16.958333329999999</v>
      </c>
    </row>
    <row r="567" spans="1:6" x14ac:dyDescent="0.2">
      <c r="A567" s="3">
        <v>44762</v>
      </c>
      <c r="B567">
        <v>10.9496875</v>
      </c>
      <c r="C567">
        <v>0</v>
      </c>
      <c r="D567">
        <v>28.070833329999999</v>
      </c>
      <c r="E567">
        <v>42.791666669999998</v>
      </c>
      <c r="F567">
        <v>10.58333333</v>
      </c>
    </row>
    <row r="568" spans="1:6" x14ac:dyDescent="0.2">
      <c r="A568" s="3">
        <v>44763</v>
      </c>
      <c r="B568">
        <v>10.998125</v>
      </c>
      <c r="C568">
        <v>0</v>
      </c>
      <c r="D568">
        <v>27.466666669999999</v>
      </c>
      <c r="E568">
        <v>51.708333330000002</v>
      </c>
      <c r="F568">
        <v>6.2083333329999997</v>
      </c>
    </row>
    <row r="569" spans="1:6" x14ac:dyDescent="0.2">
      <c r="A569" s="3">
        <v>44764</v>
      </c>
      <c r="B569">
        <v>11.099375</v>
      </c>
      <c r="C569">
        <v>0</v>
      </c>
      <c r="D569">
        <v>28.1875</v>
      </c>
      <c r="E569">
        <v>58.875</v>
      </c>
      <c r="F569">
        <v>4.9166666670000003</v>
      </c>
    </row>
    <row r="570" spans="1:6" x14ac:dyDescent="0.2">
      <c r="A570" s="3">
        <v>44765</v>
      </c>
      <c r="B570">
        <v>10.470104170000001</v>
      </c>
      <c r="C570">
        <v>0</v>
      </c>
      <c r="D570">
        <v>28.341666669999999</v>
      </c>
      <c r="E570">
        <v>58.041666669999998</v>
      </c>
      <c r="F570">
        <v>6.3333333329999997</v>
      </c>
    </row>
    <row r="571" spans="1:6" x14ac:dyDescent="0.2">
      <c r="A571" s="3">
        <v>44766</v>
      </c>
      <c r="B571">
        <v>10.40260417</v>
      </c>
      <c r="C571">
        <v>0</v>
      </c>
      <c r="D571">
        <v>30.033333330000001</v>
      </c>
      <c r="E571">
        <v>53.291666669999998</v>
      </c>
      <c r="F571">
        <v>16</v>
      </c>
    </row>
    <row r="572" spans="1:6" x14ac:dyDescent="0.2">
      <c r="A572" s="3">
        <v>44767</v>
      </c>
      <c r="B572">
        <v>8.2593361089999995</v>
      </c>
      <c r="C572">
        <v>0</v>
      </c>
      <c r="D572">
        <v>29.304166670000001</v>
      </c>
      <c r="E572">
        <v>54.208333330000002</v>
      </c>
      <c r="F572">
        <v>10.70833333</v>
      </c>
    </row>
    <row r="573" spans="1:6" x14ac:dyDescent="0.2">
      <c r="A573" s="3">
        <v>44768</v>
      </c>
      <c r="B573">
        <v>8.2593361089999995</v>
      </c>
      <c r="C573">
        <v>1.358333333</v>
      </c>
      <c r="D573">
        <v>27.387499999999999</v>
      </c>
      <c r="E573">
        <v>57.375</v>
      </c>
      <c r="F573">
        <v>19.375</v>
      </c>
    </row>
    <row r="574" spans="1:6" x14ac:dyDescent="0.2">
      <c r="A574" s="3">
        <v>44769</v>
      </c>
      <c r="B574">
        <v>8.2593361089999995</v>
      </c>
      <c r="C574">
        <v>4.1666669999999998E-3</v>
      </c>
      <c r="D574">
        <v>27.366666670000001</v>
      </c>
      <c r="E574">
        <v>49.875</v>
      </c>
      <c r="F574">
        <v>26.625</v>
      </c>
    </row>
    <row r="575" spans="1:6" x14ac:dyDescent="0.2">
      <c r="A575" s="3">
        <v>44770</v>
      </c>
      <c r="B575">
        <v>8.2593361089999995</v>
      </c>
      <c r="C575">
        <v>4.1666669999999998E-3</v>
      </c>
      <c r="D575">
        <v>26.670833330000001</v>
      </c>
      <c r="E575">
        <v>58.625</v>
      </c>
      <c r="F575">
        <v>21.958333329999999</v>
      </c>
    </row>
    <row r="576" spans="1:6" x14ac:dyDescent="0.2">
      <c r="A576" s="3">
        <v>44771</v>
      </c>
      <c r="B576">
        <v>8.2593361089999995</v>
      </c>
      <c r="C576">
        <v>0</v>
      </c>
      <c r="D576">
        <v>26.895833329999999</v>
      </c>
      <c r="E576">
        <v>58.583333330000002</v>
      </c>
      <c r="F576">
        <v>7.875</v>
      </c>
    </row>
    <row r="577" spans="1:6" x14ac:dyDescent="0.2">
      <c r="A577" s="3">
        <v>44772</v>
      </c>
      <c r="B577">
        <v>8.2593361089999995</v>
      </c>
      <c r="C577">
        <v>0.241666667</v>
      </c>
      <c r="D577">
        <v>24.774999999999999</v>
      </c>
      <c r="E577">
        <v>64.916666669999998</v>
      </c>
      <c r="F577">
        <v>11.41666667</v>
      </c>
    </row>
    <row r="578" spans="1:6" x14ac:dyDescent="0.2">
      <c r="A578" s="3">
        <v>44773</v>
      </c>
      <c r="B578">
        <v>8.2593361089999995</v>
      </c>
      <c r="C578">
        <v>0</v>
      </c>
      <c r="D578">
        <v>25.354166670000001</v>
      </c>
      <c r="E578">
        <v>62.958333330000002</v>
      </c>
      <c r="F578">
        <v>6.3333333329999997</v>
      </c>
    </row>
    <row r="579" spans="1:6" x14ac:dyDescent="0.2">
      <c r="A579" s="3">
        <v>44774</v>
      </c>
      <c r="B579">
        <v>11.221145829999999</v>
      </c>
      <c r="C579">
        <v>0</v>
      </c>
      <c r="D579">
        <v>26.675000000000001</v>
      </c>
      <c r="E579">
        <v>58.666666669999998</v>
      </c>
      <c r="F579">
        <v>5.5833333329999997</v>
      </c>
    </row>
    <row r="580" spans="1:6" x14ac:dyDescent="0.2">
      <c r="A580" s="3">
        <v>44775</v>
      </c>
      <c r="B580">
        <v>11.826770829999999</v>
      </c>
      <c r="C580">
        <v>0.05</v>
      </c>
      <c r="D580">
        <v>26.179166670000001</v>
      </c>
      <c r="E580">
        <v>56.375</v>
      </c>
      <c r="F580">
        <v>13.66666667</v>
      </c>
    </row>
    <row r="581" spans="1:6" x14ac:dyDescent="0.2">
      <c r="A581" s="3">
        <v>44776</v>
      </c>
      <c r="B581">
        <v>11.28331929</v>
      </c>
      <c r="C581">
        <v>0</v>
      </c>
      <c r="D581">
        <v>27.395833329999999</v>
      </c>
      <c r="E581">
        <v>52.825101140000001</v>
      </c>
      <c r="F581">
        <v>13.04166667</v>
      </c>
    </row>
    <row r="582" spans="1:6" x14ac:dyDescent="0.2">
      <c r="A582" s="3">
        <v>44777</v>
      </c>
      <c r="B582">
        <v>11.73770833</v>
      </c>
      <c r="C582">
        <v>0</v>
      </c>
      <c r="D582">
        <v>28.56666667</v>
      </c>
      <c r="E582">
        <v>50.083333330000002</v>
      </c>
      <c r="F582">
        <v>7</v>
      </c>
    </row>
    <row r="583" spans="1:6" x14ac:dyDescent="0.2">
      <c r="A583" s="3">
        <v>44778</v>
      </c>
      <c r="B583">
        <v>11.51979167</v>
      </c>
      <c r="C583">
        <v>0</v>
      </c>
      <c r="D583">
        <v>28.25416667</v>
      </c>
      <c r="E583">
        <v>54.333333330000002</v>
      </c>
      <c r="F583">
        <v>4.7916666670000003</v>
      </c>
    </row>
    <row r="584" spans="1:6" x14ac:dyDescent="0.2">
      <c r="A584" s="3">
        <v>44779</v>
      </c>
      <c r="B584">
        <v>10.517068220000001</v>
      </c>
      <c r="C584">
        <v>0.12916666700000001</v>
      </c>
      <c r="D584">
        <v>29.145833329999999</v>
      </c>
      <c r="E584">
        <v>56.833333330000002</v>
      </c>
      <c r="F584">
        <v>18.041666670000001</v>
      </c>
    </row>
    <row r="585" spans="1:6" x14ac:dyDescent="0.2">
      <c r="A585" s="3">
        <v>44780</v>
      </c>
      <c r="B585">
        <v>10.561979170000001</v>
      </c>
      <c r="C585">
        <v>0</v>
      </c>
      <c r="D585">
        <v>27.083333329999999</v>
      </c>
      <c r="E585">
        <v>48.791666669999998</v>
      </c>
      <c r="F585">
        <v>34.916666669999998</v>
      </c>
    </row>
    <row r="586" spans="1:6" x14ac:dyDescent="0.2">
      <c r="A586" s="3">
        <v>44781</v>
      </c>
      <c r="B586">
        <v>12.21489583</v>
      </c>
      <c r="C586">
        <v>0</v>
      </c>
      <c r="D586">
        <v>26.908333330000001</v>
      </c>
      <c r="E586">
        <v>48.208333330000002</v>
      </c>
      <c r="F586">
        <v>36.083333330000002</v>
      </c>
    </row>
    <row r="587" spans="1:6" x14ac:dyDescent="0.2">
      <c r="A587" s="3">
        <v>44782</v>
      </c>
      <c r="B587">
        <v>12.701458329999999</v>
      </c>
      <c r="C587">
        <v>4.1666669999999998E-3</v>
      </c>
      <c r="D587">
        <v>26.975000000000001</v>
      </c>
      <c r="E587">
        <v>39.833333330000002</v>
      </c>
      <c r="F587">
        <v>33.5</v>
      </c>
    </row>
    <row r="588" spans="1:6" x14ac:dyDescent="0.2">
      <c r="A588" s="3">
        <v>44783</v>
      </c>
      <c r="B588">
        <v>11.7478125</v>
      </c>
      <c r="C588">
        <v>0</v>
      </c>
      <c r="D588">
        <v>26.791666670000001</v>
      </c>
      <c r="E588">
        <v>38.416666669999998</v>
      </c>
      <c r="F588">
        <v>31.083333329999999</v>
      </c>
    </row>
    <row r="589" spans="1:6" x14ac:dyDescent="0.2">
      <c r="A589" s="3">
        <v>44784</v>
      </c>
      <c r="B589">
        <v>12.182708330000001</v>
      </c>
      <c r="C589">
        <v>0</v>
      </c>
      <c r="D589">
        <v>26.774999999999999</v>
      </c>
      <c r="E589">
        <v>35.208333330000002</v>
      </c>
      <c r="F589">
        <v>21.708333329999999</v>
      </c>
    </row>
    <row r="590" spans="1:6" x14ac:dyDescent="0.2">
      <c r="A590" s="3">
        <v>44785</v>
      </c>
      <c r="B590">
        <v>11.51947917</v>
      </c>
      <c r="C590">
        <v>0</v>
      </c>
      <c r="D590">
        <v>24.633333329999999</v>
      </c>
      <c r="E590">
        <v>44.166666669999998</v>
      </c>
      <c r="F590">
        <v>20.208333329999999</v>
      </c>
    </row>
    <row r="591" spans="1:6" x14ac:dyDescent="0.2">
      <c r="A591" s="3">
        <v>44786</v>
      </c>
      <c r="B591">
        <v>10.952500000000001</v>
      </c>
      <c r="C591">
        <v>0</v>
      </c>
      <c r="D591">
        <v>23.158333330000001</v>
      </c>
      <c r="E591">
        <v>48.25</v>
      </c>
      <c r="F591">
        <v>21.5</v>
      </c>
    </row>
    <row r="592" spans="1:6" x14ac:dyDescent="0.2">
      <c r="A592" s="3">
        <v>44787</v>
      </c>
      <c r="B592">
        <v>11.75958333</v>
      </c>
      <c r="C592">
        <v>0</v>
      </c>
      <c r="D592">
        <v>23.462499999999999</v>
      </c>
      <c r="E592">
        <v>56.416666669999998</v>
      </c>
      <c r="F592">
        <v>4.5</v>
      </c>
    </row>
    <row r="593" spans="1:6" x14ac:dyDescent="0.2">
      <c r="A593" s="3">
        <v>44788</v>
      </c>
      <c r="B593">
        <v>11.447708329999999</v>
      </c>
      <c r="C593">
        <v>0</v>
      </c>
      <c r="D593">
        <v>24.762499999999999</v>
      </c>
      <c r="E593">
        <v>56.666666669999998</v>
      </c>
      <c r="F593">
        <v>9.1666666669999994</v>
      </c>
    </row>
    <row r="594" spans="1:6" x14ac:dyDescent="0.2">
      <c r="A594" s="3">
        <v>44789</v>
      </c>
      <c r="B594">
        <v>11.631875000000001</v>
      </c>
      <c r="C594">
        <v>0.204166667</v>
      </c>
      <c r="D594">
        <v>24.045833330000001</v>
      </c>
      <c r="E594">
        <v>69.708333330000002</v>
      </c>
      <c r="F594">
        <v>9.7083333330000006</v>
      </c>
    </row>
    <row r="595" spans="1:6" x14ac:dyDescent="0.2">
      <c r="A595" s="3">
        <v>44790</v>
      </c>
      <c r="B595">
        <v>10.96294035</v>
      </c>
      <c r="C595">
        <v>0</v>
      </c>
      <c r="D595">
        <v>24.658333330000001</v>
      </c>
      <c r="E595">
        <v>79.333333330000002</v>
      </c>
      <c r="F595">
        <v>6.5</v>
      </c>
    </row>
    <row r="596" spans="1:6" x14ac:dyDescent="0.2">
      <c r="A596" s="3">
        <v>44791</v>
      </c>
      <c r="B596">
        <v>12.164999999999999</v>
      </c>
      <c r="C596">
        <v>0.12916666700000001</v>
      </c>
      <c r="D596">
        <v>25.0625</v>
      </c>
      <c r="E596">
        <v>77.666666669999998</v>
      </c>
      <c r="F596">
        <v>9.9583333330000006</v>
      </c>
    </row>
    <row r="597" spans="1:6" x14ac:dyDescent="0.2">
      <c r="A597" s="3">
        <v>44792</v>
      </c>
      <c r="B597">
        <v>11.24290338</v>
      </c>
      <c r="C597">
        <v>1.1166666670000001</v>
      </c>
      <c r="D597">
        <v>24.12916667</v>
      </c>
      <c r="E597">
        <v>71.583333330000002</v>
      </c>
      <c r="F597">
        <v>17.708333329999999</v>
      </c>
    </row>
    <row r="598" spans="1:6" x14ac:dyDescent="0.2">
      <c r="A598" s="3">
        <v>44793</v>
      </c>
      <c r="B598">
        <v>10.950625</v>
      </c>
      <c r="C598">
        <v>2.9166667E-2</v>
      </c>
      <c r="D598">
        <v>24.37916667</v>
      </c>
      <c r="E598">
        <v>71.916666669999998</v>
      </c>
      <c r="F598">
        <v>8.7916666669999994</v>
      </c>
    </row>
    <row r="599" spans="1:6" x14ac:dyDescent="0.2">
      <c r="A599" s="3">
        <v>44794</v>
      </c>
      <c r="B599">
        <v>10.96802083</v>
      </c>
      <c r="C599">
        <v>2.0833332999999999E-2</v>
      </c>
      <c r="D599">
        <v>25.12916667</v>
      </c>
      <c r="E599">
        <v>53.916666669999998</v>
      </c>
      <c r="F599">
        <v>8.393239501</v>
      </c>
    </row>
    <row r="600" spans="1:6" x14ac:dyDescent="0.2">
      <c r="A600" s="3">
        <v>44795</v>
      </c>
      <c r="B600">
        <v>12.52604167</v>
      </c>
      <c r="C600">
        <v>0</v>
      </c>
      <c r="D600">
        <v>24.55833333</v>
      </c>
      <c r="E600">
        <v>55.333333330000002</v>
      </c>
      <c r="F600">
        <v>6.2986111109999996</v>
      </c>
    </row>
    <row r="601" spans="1:6" x14ac:dyDescent="0.2">
      <c r="A601" s="3">
        <v>44796</v>
      </c>
      <c r="B601">
        <v>12.52322917</v>
      </c>
      <c r="C601">
        <v>1.6666667E-2</v>
      </c>
      <c r="D601">
        <v>24.445833329999999</v>
      </c>
      <c r="E601">
        <v>53.708333330000002</v>
      </c>
      <c r="F601">
        <v>18.125</v>
      </c>
    </row>
    <row r="602" spans="1:6" x14ac:dyDescent="0.2">
      <c r="A602" s="3">
        <v>44797</v>
      </c>
      <c r="B602">
        <v>12.77125</v>
      </c>
      <c r="C602">
        <v>4.1666669999999998E-3</v>
      </c>
      <c r="D602">
        <v>26.008333329999999</v>
      </c>
      <c r="E602">
        <v>51.638894690000001</v>
      </c>
      <c r="F602">
        <v>19.375</v>
      </c>
    </row>
    <row r="603" spans="1:6" x14ac:dyDescent="0.2">
      <c r="A603" s="3">
        <v>44798</v>
      </c>
      <c r="B603">
        <v>10.91958333</v>
      </c>
      <c r="C603">
        <v>0</v>
      </c>
      <c r="D603">
        <v>27.320833329999999</v>
      </c>
      <c r="E603">
        <v>55.070264440000003</v>
      </c>
      <c r="F603">
        <v>16.125</v>
      </c>
    </row>
    <row r="604" spans="1:6" x14ac:dyDescent="0.2">
      <c r="A604" s="3">
        <v>44799</v>
      </c>
      <c r="B604">
        <v>10.073437500000001</v>
      </c>
      <c r="C604">
        <v>0</v>
      </c>
      <c r="D604">
        <v>26.741666670000001</v>
      </c>
      <c r="E604">
        <v>61.166666669999998</v>
      </c>
      <c r="F604">
        <v>13.08333333</v>
      </c>
    </row>
    <row r="605" spans="1:6" x14ac:dyDescent="0.2">
      <c r="A605" s="3">
        <v>44800</v>
      </c>
      <c r="B605">
        <v>9.11</v>
      </c>
      <c r="C605">
        <v>0</v>
      </c>
      <c r="D605">
        <v>25.8125</v>
      </c>
      <c r="E605">
        <v>64.5</v>
      </c>
      <c r="F605">
        <v>8.3333333330000006</v>
      </c>
    </row>
    <row r="606" spans="1:6" x14ac:dyDescent="0.2">
      <c r="A606" s="3">
        <v>44801</v>
      </c>
      <c r="B606">
        <v>9.1410416669999996</v>
      </c>
      <c r="C606">
        <v>0</v>
      </c>
      <c r="D606">
        <v>24.9</v>
      </c>
      <c r="E606">
        <v>71.875</v>
      </c>
      <c r="F606">
        <v>8.875</v>
      </c>
    </row>
    <row r="607" spans="1:6" x14ac:dyDescent="0.2">
      <c r="A607" s="3">
        <v>44802</v>
      </c>
      <c r="B607">
        <v>10.318958329999999</v>
      </c>
      <c r="C607">
        <v>0</v>
      </c>
      <c r="D607">
        <v>25.5625</v>
      </c>
      <c r="E607">
        <v>66.916666669999998</v>
      </c>
      <c r="F607">
        <v>9.25</v>
      </c>
    </row>
    <row r="608" spans="1:6" x14ac:dyDescent="0.2">
      <c r="A608" s="3">
        <v>44803</v>
      </c>
      <c r="B608">
        <v>10.33583333</v>
      </c>
      <c r="C608">
        <v>0</v>
      </c>
      <c r="D608">
        <v>25.6</v>
      </c>
      <c r="E608">
        <v>66.041666669999998</v>
      </c>
      <c r="F608">
        <v>10.08333333</v>
      </c>
    </row>
    <row r="609" spans="1:6" x14ac:dyDescent="0.2">
      <c r="A609" s="3">
        <v>44804</v>
      </c>
      <c r="B609">
        <v>9.1661458329999999</v>
      </c>
      <c r="C609">
        <v>8.7499999999999994E-2</v>
      </c>
      <c r="D609">
        <v>24.716666669999999</v>
      </c>
      <c r="E609">
        <v>63.458333330000002</v>
      </c>
      <c r="F609">
        <v>12.20833333</v>
      </c>
    </row>
    <row r="610" spans="1:6" x14ac:dyDescent="0.2">
      <c r="A610" s="3">
        <v>44805</v>
      </c>
      <c r="B610">
        <v>8.3233333330000008</v>
      </c>
      <c r="C610">
        <v>0.116666667</v>
      </c>
      <c r="D610">
        <v>21.74583333</v>
      </c>
      <c r="E610">
        <v>60.583333330000002</v>
      </c>
      <c r="F610">
        <v>45.708333330000002</v>
      </c>
    </row>
    <row r="611" spans="1:6" x14ac:dyDescent="0.2">
      <c r="A611" s="3">
        <v>44806</v>
      </c>
      <c r="B611">
        <v>9.0506250000000001</v>
      </c>
      <c r="C611">
        <v>0</v>
      </c>
      <c r="D611">
        <v>22.841666669999999</v>
      </c>
      <c r="E611">
        <v>46.166666669999998</v>
      </c>
      <c r="F611">
        <v>23.875</v>
      </c>
    </row>
    <row r="612" spans="1:6" x14ac:dyDescent="0.2">
      <c r="A612" s="3">
        <v>44807</v>
      </c>
      <c r="B612">
        <v>8.4489583330000002</v>
      </c>
      <c r="C612">
        <v>0</v>
      </c>
      <c r="D612">
        <v>22.137499999999999</v>
      </c>
      <c r="E612">
        <v>56.833333330000002</v>
      </c>
      <c r="F612">
        <v>8.0833333330000006</v>
      </c>
    </row>
    <row r="613" spans="1:6" x14ac:dyDescent="0.2">
      <c r="A613" s="3">
        <v>44808</v>
      </c>
      <c r="B613">
        <v>8.5140624999999996</v>
      </c>
      <c r="C613">
        <v>0</v>
      </c>
      <c r="D613">
        <v>22.94166667</v>
      </c>
      <c r="E613">
        <v>68.041666669999998</v>
      </c>
      <c r="F613">
        <v>7.5</v>
      </c>
    </row>
    <row r="614" spans="1:6" x14ac:dyDescent="0.2">
      <c r="A614" s="3">
        <v>44809</v>
      </c>
      <c r="B614">
        <v>11.0328125</v>
      </c>
      <c r="C614">
        <v>0</v>
      </c>
      <c r="D614">
        <v>23.87916667</v>
      </c>
      <c r="E614">
        <v>64.416666669999998</v>
      </c>
      <c r="F614">
        <v>6.0416666670000003</v>
      </c>
    </row>
    <row r="615" spans="1:6" x14ac:dyDescent="0.2">
      <c r="A615" s="3">
        <v>44810</v>
      </c>
      <c r="B615">
        <v>9.2917708329999993</v>
      </c>
      <c r="C615">
        <v>0</v>
      </c>
      <c r="D615">
        <v>23.6875</v>
      </c>
      <c r="E615">
        <v>64.416666669999998</v>
      </c>
      <c r="F615">
        <v>5.125</v>
      </c>
    </row>
    <row r="616" spans="1:6" x14ac:dyDescent="0.2">
      <c r="A616" s="3">
        <v>44811</v>
      </c>
      <c r="B616">
        <v>8.1416666670000009</v>
      </c>
      <c r="C616">
        <v>0</v>
      </c>
      <c r="D616">
        <v>23.920833330000001</v>
      </c>
      <c r="E616">
        <v>69.333333330000002</v>
      </c>
      <c r="F616">
        <v>5.75</v>
      </c>
    </row>
    <row r="617" spans="1:6" x14ac:dyDescent="0.2">
      <c r="A617" s="3">
        <v>44812</v>
      </c>
      <c r="B617">
        <v>7.3572916670000001</v>
      </c>
      <c r="C617">
        <v>3.875</v>
      </c>
      <c r="D617">
        <v>22.845833330000001</v>
      </c>
      <c r="E617">
        <v>72.666666669999998</v>
      </c>
      <c r="F617">
        <v>11.25</v>
      </c>
    </row>
    <row r="618" spans="1:6" x14ac:dyDescent="0.2">
      <c r="A618" s="3">
        <v>44813</v>
      </c>
      <c r="B618">
        <v>7.4244791670000003</v>
      </c>
      <c r="C618">
        <v>1.045833333</v>
      </c>
      <c r="D618">
        <v>23.112500000000001</v>
      </c>
      <c r="E618">
        <v>71.916666669999998</v>
      </c>
      <c r="F618">
        <v>14.417328039999999</v>
      </c>
    </row>
    <row r="619" spans="1:6" x14ac:dyDescent="0.2">
      <c r="A619" s="3">
        <v>44814</v>
      </c>
      <c r="B619">
        <v>6.9571874999999999</v>
      </c>
      <c r="C619">
        <v>1.2500000000000001E-2</v>
      </c>
      <c r="D619">
        <v>22.56666667</v>
      </c>
      <c r="E619">
        <v>61.25</v>
      </c>
      <c r="F619">
        <v>13.58333333</v>
      </c>
    </row>
    <row r="620" spans="1:6" x14ac:dyDescent="0.2">
      <c r="A620" s="3">
        <v>44815</v>
      </c>
      <c r="B620">
        <v>6.4754166670000002</v>
      </c>
      <c r="C620">
        <v>0</v>
      </c>
      <c r="D620">
        <v>21.841666669999999</v>
      </c>
      <c r="E620">
        <v>59.375</v>
      </c>
      <c r="F620">
        <v>10.58333333</v>
      </c>
    </row>
    <row r="621" spans="1:6" x14ac:dyDescent="0.2">
      <c r="A621" s="3">
        <v>44816</v>
      </c>
      <c r="B621">
        <v>8.0052083330000006</v>
      </c>
      <c r="C621">
        <v>0</v>
      </c>
      <c r="D621">
        <v>22.487500000000001</v>
      </c>
      <c r="E621">
        <v>50</v>
      </c>
      <c r="F621">
        <v>7.7083333329999997</v>
      </c>
    </row>
    <row r="622" spans="1:6" x14ac:dyDescent="0.2">
      <c r="A622" s="3">
        <v>44817</v>
      </c>
      <c r="B622">
        <v>8.5864583329999995</v>
      </c>
      <c r="C622">
        <v>0</v>
      </c>
      <c r="D622">
        <v>22.329166669999999</v>
      </c>
      <c r="E622">
        <v>65.25</v>
      </c>
      <c r="F622">
        <v>6.25</v>
      </c>
    </row>
    <row r="623" spans="1:6" x14ac:dyDescent="0.2">
      <c r="A623" s="3">
        <v>44818</v>
      </c>
      <c r="B623">
        <v>9.3077083330000008</v>
      </c>
      <c r="C623">
        <v>0</v>
      </c>
      <c r="D623">
        <v>24.212499999999999</v>
      </c>
      <c r="E623">
        <v>68.416666669999998</v>
      </c>
      <c r="F623">
        <v>13.75</v>
      </c>
    </row>
    <row r="624" spans="1:6" x14ac:dyDescent="0.2">
      <c r="A624" s="3">
        <v>44819</v>
      </c>
      <c r="B624">
        <v>9.2486458329999994</v>
      </c>
      <c r="C624">
        <v>0.96666666700000003</v>
      </c>
      <c r="D624">
        <v>25.1</v>
      </c>
      <c r="E624">
        <v>72.166666669999998</v>
      </c>
      <c r="F624">
        <v>20.208333329999999</v>
      </c>
    </row>
    <row r="625" spans="1:6" x14ac:dyDescent="0.2">
      <c r="A625" s="3">
        <v>44820</v>
      </c>
      <c r="B625">
        <v>7.53125</v>
      </c>
      <c r="C625">
        <v>0.3</v>
      </c>
      <c r="D625">
        <v>22.81666667</v>
      </c>
      <c r="E625">
        <v>72</v>
      </c>
      <c r="F625">
        <v>22.958333329999999</v>
      </c>
    </row>
    <row r="626" spans="1:6" x14ac:dyDescent="0.2">
      <c r="A626" s="3">
        <v>44821</v>
      </c>
      <c r="B626">
        <v>6.4646875000000001</v>
      </c>
      <c r="C626">
        <v>0.77916666700000003</v>
      </c>
      <c r="D626">
        <v>16.229166670000001</v>
      </c>
      <c r="E626">
        <v>69.375</v>
      </c>
      <c r="F626">
        <v>40</v>
      </c>
    </row>
    <row r="627" spans="1:6" x14ac:dyDescent="0.2">
      <c r="A627" s="3">
        <v>44822</v>
      </c>
      <c r="B627">
        <v>6.9439583330000003</v>
      </c>
      <c r="C627">
        <v>0</v>
      </c>
      <c r="D627">
        <v>17.604166670000001</v>
      </c>
      <c r="E627">
        <v>65.666666669999998</v>
      </c>
      <c r="F627">
        <v>11.875</v>
      </c>
    </row>
    <row r="628" spans="1:6" x14ac:dyDescent="0.2">
      <c r="A628" s="3">
        <v>44823</v>
      </c>
      <c r="B628">
        <v>8.2276041670000009</v>
      </c>
      <c r="C628">
        <v>0</v>
      </c>
      <c r="D628">
        <v>20.00416667</v>
      </c>
      <c r="E628">
        <v>52.458333330000002</v>
      </c>
      <c r="F628">
        <v>13.45833333</v>
      </c>
    </row>
    <row r="629" spans="1:6" x14ac:dyDescent="0.2">
      <c r="A629" s="3">
        <v>44824</v>
      </c>
      <c r="B629">
        <v>9.0597916670000007</v>
      </c>
      <c r="C629">
        <v>0</v>
      </c>
      <c r="D629">
        <v>18.762499999999999</v>
      </c>
      <c r="E629">
        <v>43.083333330000002</v>
      </c>
      <c r="F629">
        <v>14.79166667</v>
      </c>
    </row>
    <row r="630" spans="1:6" x14ac:dyDescent="0.2">
      <c r="A630" s="3">
        <v>44825</v>
      </c>
      <c r="B630">
        <v>8.6896874999999998</v>
      </c>
      <c r="C630">
        <v>0</v>
      </c>
      <c r="D630">
        <v>17.19166667</v>
      </c>
      <c r="E630">
        <v>42.958333330000002</v>
      </c>
      <c r="F630">
        <v>20.791666670000001</v>
      </c>
    </row>
    <row r="631" spans="1:6" x14ac:dyDescent="0.2">
      <c r="A631" s="3">
        <v>44826</v>
      </c>
      <c r="B631">
        <v>8.5727083329999996</v>
      </c>
      <c r="C631">
        <v>0</v>
      </c>
      <c r="D631">
        <v>16.720833330000001</v>
      </c>
      <c r="E631">
        <v>43.416666669999998</v>
      </c>
      <c r="F631">
        <v>12.66666667</v>
      </c>
    </row>
    <row r="632" spans="1:6" x14ac:dyDescent="0.2">
      <c r="A632" s="3">
        <v>44827</v>
      </c>
      <c r="B632">
        <v>8.2536458330000002</v>
      </c>
      <c r="C632">
        <v>0</v>
      </c>
      <c r="D632">
        <v>16.729166670000001</v>
      </c>
      <c r="E632">
        <v>50.958333330000002</v>
      </c>
      <c r="F632">
        <v>9.3333333330000006</v>
      </c>
    </row>
    <row r="633" spans="1:6" x14ac:dyDescent="0.2">
      <c r="A633" s="3">
        <v>44828</v>
      </c>
      <c r="B633">
        <v>5.5277083329999996</v>
      </c>
      <c r="C633">
        <v>0.30833333299999999</v>
      </c>
      <c r="D633">
        <v>18.25</v>
      </c>
      <c r="E633">
        <v>61.166666669999998</v>
      </c>
      <c r="F633">
        <v>14.83333333</v>
      </c>
    </row>
    <row r="634" spans="1:6" x14ac:dyDescent="0.2">
      <c r="A634" s="3">
        <v>44829</v>
      </c>
      <c r="B634">
        <v>5.3029166669999999</v>
      </c>
      <c r="C634">
        <v>1.5708333329999999</v>
      </c>
      <c r="D634">
        <v>17.375</v>
      </c>
      <c r="E634">
        <v>85.833333330000002</v>
      </c>
      <c r="F634">
        <v>13.29166667</v>
      </c>
    </row>
    <row r="635" spans="1:6" x14ac:dyDescent="0.2">
      <c r="A635" s="3">
        <v>44830</v>
      </c>
      <c r="B635">
        <v>7.0268750000000004</v>
      </c>
      <c r="C635">
        <v>5.8333333000000001E-2</v>
      </c>
      <c r="D635">
        <v>18.49583333</v>
      </c>
      <c r="E635">
        <v>82.208333330000002</v>
      </c>
      <c r="F635">
        <v>8.9583333330000006</v>
      </c>
    </row>
    <row r="636" spans="1:6" x14ac:dyDescent="0.2">
      <c r="A636" s="3">
        <v>44831</v>
      </c>
      <c r="B636">
        <v>6.8988541669999996</v>
      </c>
      <c r="C636">
        <v>0.37083333299999999</v>
      </c>
      <c r="D636">
        <v>17.970833330000001</v>
      </c>
      <c r="E636">
        <v>75</v>
      </c>
      <c r="F636">
        <v>14.875</v>
      </c>
    </row>
    <row r="637" spans="1:6" x14ac:dyDescent="0.2">
      <c r="A637" s="3">
        <v>44832</v>
      </c>
      <c r="B637">
        <v>6.6015625</v>
      </c>
      <c r="C637">
        <v>0.77083333300000001</v>
      </c>
      <c r="D637">
        <v>17.608333330000001</v>
      </c>
      <c r="E637">
        <v>70.916666669999998</v>
      </c>
      <c r="F637">
        <v>16.458333329999999</v>
      </c>
    </row>
    <row r="638" spans="1:6" x14ac:dyDescent="0.2">
      <c r="A638" s="3">
        <v>44833</v>
      </c>
      <c r="B638">
        <v>6.8770833329999999</v>
      </c>
      <c r="C638">
        <v>0.14583333300000001</v>
      </c>
      <c r="D638">
        <v>19.383333329999999</v>
      </c>
      <c r="E638">
        <v>72.879350090000003</v>
      </c>
      <c r="F638">
        <v>19.208333329999999</v>
      </c>
    </row>
    <row r="639" spans="1:6" x14ac:dyDescent="0.2">
      <c r="A639" s="3">
        <v>44834</v>
      </c>
      <c r="B639">
        <v>6.8568749999999996</v>
      </c>
      <c r="C639">
        <v>1.3666666670000001</v>
      </c>
      <c r="D639">
        <v>17.55</v>
      </c>
      <c r="E639">
        <v>79.041666669999998</v>
      </c>
      <c r="F639">
        <v>13.29166667</v>
      </c>
    </row>
    <row r="640" spans="1:6" x14ac:dyDescent="0.2">
      <c r="A640" s="3">
        <v>44835</v>
      </c>
      <c r="B640">
        <v>5.9115624999999996</v>
      </c>
      <c r="C640">
        <v>4.1666666999999998E-2</v>
      </c>
      <c r="D640">
        <v>18.05833333</v>
      </c>
      <c r="E640">
        <v>81.875</v>
      </c>
      <c r="F640">
        <v>10.91666667</v>
      </c>
    </row>
    <row r="641" spans="1:6" x14ac:dyDescent="0.2">
      <c r="A641" s="3">
        <v>44836</v>
      </c>
      <c r="B641">
        <v>5.1658333330000001</v>
      </c>
      <c r="C641">
        <v>0</v>
      </c>
      <c r="D641">
        <v>18.883333329999999</v>
      </c>
      <c r="E641">
        <v>74.791666669999998</v>
      </c>
      <c r="F641">
        <v>12.66666667</v>
      </c>
    </row>
    <row r="642" spans="1:6" x14ac:dyDescent="0.2">
      <c r="A642" s="3">
        <v>44837</v>
      </c>
      <c r="B642">
        <v>7.0267708329999996</v>
      </c>
      <c r="C642">
        <v>0</v>
      </c>
      <c r="D642">
        <v>19</v>
      </c>
      <c r="E642">
        <v>73.5</v>
      </c>
      <c r="F642">
        <v>6.7083333329999997</v>
      </c>
    </row>
    <row r="643" spans="1:6" x14ac:dyDescent="0.2">
      <c r="A643" s="3">
        <v>44838</v>
      </c>
      <c r="B643">
        <v>7.7019791670000002</v>
      </c>
      <c r="C643">
        <v>0</v>
      </c>
      <c r="D643">
        <v>18.7</v>
      </c>
      <c r="E643">
        <v>63.458333330000002</v>
      </c>
      <c r="F643">
        <v>9.2083333330000006</v>
      </c>
    </row>
    <row r="644" spans="1:6" x14ac:dyDescent="0.2">
      <c r="A644" s="3">
        <v>44839</v>
      </c>
      <c r="B644">
        <v>6.8758333330000001</v>
      </c>
      <c r="C644">
        <v>0</v>
      </c>
      <c r="D644">
        <v>18.029166669999999</v>
      </c>
      <c r="E644">
        <v>80.583333330000002</v>
      </c>
      <c r="F644">
        <v>5.375</v>
      </c>
    </row>
    <row r="645" spans="1:6" x14ac:dyDescent="0.2">
      <c r="A645" s="3">
        <v>44840</v>
      </c>
      <c r="B645">
        <v>6.9060416670000002</v>
      </c>
      <c r="C645">
        <v>0</v>
      </c>
      <c r="D645">
        <v>19.00416667</v>
      </c>
      <c r="E645">
        <v>77.916666669999998</v>
      </c>
      <c r="F645">
        <v>4.9166666670000003</v>
      </c>
    </row>
    <row r="646" spans="1:6" x14ac:dyDescent="0.2">
      <c r="A646" s="3">
        <v>44841</v>
      </c>
      <c r="B646">
        <v>7.4853125</v>
      </c>
      <c r="C646">
        <v>0</v>
      </c>
      <c r="D646">
        <v>21.44166667</v>
      </c>
      <c r="E646">
        <v>60.666666669999998</v>
      </c>
      <c r="F646">
        <v>15.5</v>
      </c>
    </row>
    <row r="647" spans="1:6" x14ac:dyDescent="0.2">
      <c r="A647" s="3">
        <v>44842</v>
      </c>
      <c r="B647">
        <v>7.2596875000000001</v>
      </c>
      <c r="C647">
        <v>0</v>
      </c>
      <c r="D647">
        <v>19.116666670000001</v>
      </c>
      <c r="E647">
        <v>76.708333330000002</v>
      </c>
      <c r="F647">
        <v>5</v>
      </c>
    </row>
    <row r="648" spans="1:6" x14ac:dyDescent="0.2">
      <c r="A648" s="3">
        <v>44843</v>
      </c>
      <c r="B648">
        <v>6.9177083330000002</v>
      </c>
      <c r="C648">
        <v>0</v>
      </c>
      <c r="D648">
        <v>19.945833329999999</v>
      </c>
      <c r="E648">
        <v>59.833333330000002</v>
      </c>
      <c r="F648">
        <v>22.583333329999999</v>
      </c>
    </row>
    <row r="649" spans="1:6" x14ac:dyDescent="0.2">
      <c r="A649" s="3">
        <v>44844</v>
      </c>
      <c r="B649">
        <v>8.2027083330000004</v>
      </c>
      <c r="C649">
        <v>0</v>
      </c>
      <c r="D649">
        <v>18.99583333</v>
      </c>
      <c r="E649">
        <v>58.375</v>
      </c>
      <c r="F649">
        <v>17.166666670000001</v>
      </c>
    </row>
    <row r="650" spans="1:6" x14ac:dyDescent="0.2">
      <c r="A650" s="3">
        <v>44845</v>
      </c>
      <c r="B650">
        <v>8.4155208330000004</v>
      </c>
      <c r="C650">
        <v>0</v>
      </c>
      <c r="D650">
        <v>20.112500000000001</v>
      </c>
      <c r="E650">
        <v>60.666666669999998</v>
      </c>
      <c r="F650">
        <v>10.04166667</v>
      </c>
    </row>
    <row r="651" spans="1:6" x14ac:dyDescent="0.2">
      <c r="A651" s="3">
        <v>44846</v>
      </c>
      <c r="B651">
        <v>7.6321874999999997</v>
      </c>
      <c r="C651">
        <v>0</v>
      </c>
      <c r="D651">
        <v>19.887499999999999</v>
      </c>
      <c r="E651">
        <v>54.041666669999998</v>
      </c>
      <c r="F651">
        <v>21.125</v>
      </c>
    </row>
    <row r="652" spans="1:6" x14ac:dyDescent="0.2">
      <c r="A652" s="3">
        <v>44847</v>
      </c>
      <c r="B652">
        <v>8.3078125000000007</v>
      </c>
      <c r="C652">
        <v>0</v>
      </c>
      <c r="D652">
        <v>18.9375</v>
      </c>
      <c r="E652">
        <v>61.625</v>
      </c>
      <c r="F652">
        <v>15.58333333</v>
      </c>
    </row>
    <row r="653" spans="1:6" x14ac:dyDescent="0.2">
      <c r="A653" s="3">
        <v>44848</v>
      </c>
      <c r="B653">
        <v>8.6670833330000008</v>
      </c>
      <c r="C653">
        <v>0</v>
      </c>
      <c r="D653">
        <v>18.587499999999999</v>
      </c>
      <c r="E653">
        <v>62.625</v>
      </c>
      <c r="F653">
        <v>13.04166667</v>
      </c>
    </row>
    <row r="654" spans="1:6" x14ac:dyDescent="0.2">
      <c r="A654" s="3">
        <v>44849</v>
      </c>
      <c r="B654">
        <v>8.0759375000000002</v>
      </c>
      <c r="C654">
        <v>0</v>
      </c>
      <c r="D654">
        <v>18.341666669999999</v>
      </c>
      <c r="E654">
        <v>68.083333330000002</v>
      </c>
      <c r="F654">
        <v>6.2916666670000003</v>
      </c>
    </row>
    <row r="655" spans="1:6" x14ac:dyDescent="0.2">
      <c r="A655" s="3">
        <v>44850</v>
      </c>
      <c r="B655">
        <v>7.9163541669999997</v>
      </c>
      <c r="C655">
        <v>0</v>
      </c>
      <c r="D655">
        <v>18.195833329999999</v>
      </c>
      <c r="E655">
        <v>75.083333330000002</v>
      </c>
      <c r="F655">
        <v>5.3333333329999997</v>
      </c>
    </row>
    <row r="656" spans="1:6" x14ac:dyDescent="0.2">
      <c r="A656" s="3">
        <v>44851</v>
      </c>
      <c r="B656">
        <v>8.7891528950000009</v>
      </c>
      <c r="C656">
        <v>0</v>
      </c>
      <c r="D656">
        <v>18.095833330000001</v>
      </c>
      <c r="E656">
        <v>77.625</v>
      </c>
      <c r="F656">
        <v>4.4166666670000003</v>
      </c>
    </row>
    <row r="657" spans="1:6" x14ac:dyDescent="0.2">
      <c r="A657" s="3">
        <v>44852</v>
      </c>
      <c r="B657">
        <v>10.647187499999999</v>
      </c>
      <c r="C657">
        <v>0</v>
      </c>
      <c r="D657">
        <v>17.916666670000001</v>
      </c>
      <c r="E657">
        <v>82.583333330000002</v>
      </c>
      <c r="F657">
        <v>5.4166666670000003</v>
      </c>
    </row>
    <row r="658" spans="1:6" x14ac:dyDescent="0.2">
      <c r="A658" s="3">
        <v>44853</v>
      </c>
      <c r="B658">
        <v>13.084270829999999</v>
      </c>
      <c r="C658">
        <v>0</v>
      </c>
      <c r="D658">
        <v>19.054166670000001</v>
      </c>
      <c r="E658">
        <v>80.875</v>
      </c>
      <c r="F658">
        <v>4.5833333329999997</v>
      </c>
    </row>
    <row r="659" spans="1:6" x14ac:dyDescent="0.2">
      <c r="A659" s="3">
        <v>44854</v>
      </c>
      <c r="B659">
        <v>13.096875000000001</v>
      </c>
      <c r="C659">
        <v>0</v>
      </c>
      <c r="D659">
        <v>19.470833330000001</v>
      </c>
      <c r="E659">
        <v>62.416666669999998</v>
      </c>
      <c r="F659">
        <v>16.708333329999999</v>
      </c>
    </row>
    <row r="660" spans="1:6" x14ac:dyDescent="0.2">
      <c r="A660" s="3">
        <v>44855</v>
      </c>
      <c r="B660">
        <v>12.09145833</v>
      </c>
      <c r="C660">
        <v>0</v>
      </c>
      <c r="D660">
        <v>18.725000000000001</v>
      </c>
      <c r="E660">
        <v>69.916666669999998</v>
      </c>
      <c r="F660">
        <v>6.9583333329999997</v>
      </c>
    </row>
    <row r="661" spans="1:6" x14ac:dyDescent="0.2">
      <c r="A661" s="3">
        <v>44856</v>
      </c>
      <c r="B661">
        <v>10.189895829999999</v>
      </c>
      <c r="C661">
        <v>0.104166667</v>
      </c>
      <c r="D661">
        <v>19.958333329999999</v>
      </c>
      <c r="E661">
        <v>76.791666669999998</v>
      </c>
      <c r="F661">
        <v>15.29166667</v>
      </c>
    </row>
    <row r="662" spans="1:6" x14ac:dyDescent="0.2">
      <c r="A662" s="3">
        <v>44857</v>
      </c>
      <c r="B662">
        <v>11.39802083</v>
      </c>
      <c r="C662">
        <v>0</v>
      </c>
      <c r="D662">
        <v>20.233333330000001</v>
      </c>
      <c r="E662">
        <v>82</v>
      </c>
      <c r="F662">
        <v>7</v>
      </c>
    </row>
    <row r="663" spans="1:6" x14ac:dyDescent="0.2">
      <c r="A663" s="3">
        <v>44858</v>
      </c>
      <c r="B663">
        <v>11.003080750000001</v>
      </c>
      <c r="C663">
        <v>0</v>
      </c>
      <c r="D663">
        <v>20.43333333</v>
      </c>
      <c r="E663">
        <v>77.25</v>
      </c>
      <c r="F663">
        <v>11.58333333</v>
      </c>
    </row>
    <row r="664" spans="1:6" x14ac:dyDescent="0.2">
      <c r="A664" s="3">
        <v>44859</v>
      </c>
      <c r="B664">
        <v>8.4083333329999999</v>
      </c>
      <c r="C664">
        <v>0.35416666699999999</v>
      </c>
      <c r="D664">
        <v>19.541666670000001</v>
      </c>
      <c r="E664">
        <v>75.5</v>
      </c>
      <c r="F664">
        <v>14.20833333</v>
      </c>
    </row>
    <row r="665" spans="1:6" x14ac:dyDescent="0.2">
      <c r="A665" s="3">
        <v>44860</v>
      </c>
      <c r="B665">
        <v>8.0723958329999999</v>
      </c>
      <c r="C665">
        <v>0</v>
      </c>
      <c r="D665">
        <v>18.383333329999999</v>
      </c>
      <c r="E665">
        <v>84.041666669999998</v>
      </c>
      <c r="F665">
        <v>4.625</v>
      </c>
    </row>
    <row r="666" spans="1:6" x14ac:dyDescent="0.2">
      <c r="A666" s="3">
        <v>44861</v>
      </c>
      <c r="B666">
        <v>7.3884375000000002</v>
      </c>
      <c r="C666">
        <v>0</v>
      </c>
      <c r="D666">
        <v>17.866666670000001</v>
      </c>
      <c r="E666">
        <v>83.791666669999998</v>
      </c>
      <c r="F666">
        <v>4.25</v>
      </c>
    </row>
    <row r="667" spans="1:6" x14ac:dyDescent="0.2">
      <c r="A667" s="3">
        <v>44862</v>
      </c>
      <c r="B667">
        <v>7.5089583329999998</v>
      </c>
      <c r="C667">
        <v>0</v>
      </c>
      <c r="D667">
        <v>17.908333330000001</v>
      </c>
      <c r="E667">
        <v>83.166666669999998</v>
      </c>
      <c r="F667">
        <v>3.7083333330000001</v>
      </c>
    </row>
    <row r="668" spans="1:6" x14ac:dyDescent="0.2">
      <c r="A668" s="3">
        <v>44863</v>
      </c>
      <c r="B668">
        <v>6.7869791670000001</v>
      </c>
      <c r="C668">
        <v>0</v>
      </c>
      <c r="D668">
        <v>17.43333333</v>
      </c>
      <c r="E668">
        <v>80.166666669999998</v>
      </c>
      <c r="F668">
        <v>3.7083333330000001</v>
      </c>
    </row>
    <row r="669" spans="1:6" x14ac:dyDescent="0.2">
      <c r="A669" s="3">
        <v>44864</v>
      </c>
      <c r="B669">
        <v>6.7222</v>
      </c>
      <c r="C669">
        <v>0</v>
      </c>
      <c r="D669">
        <v>17.376000000000001</v>
      </c>
      <c r="E669">
        <v>81.16</v>
      </c>
      <c r="F669">
        <v>3.48</v>
      </c>
    </row>
    <row r="670" spans="1:6" x14ac:dyDescent="0.2">
      <c r="A670" s="3">
        <v>44865</v>
      </c>
      <c r="B670">
        <v>8.2593361089999995</v>
      </c>
      <c r="C670">
        <v>0</v>
      </c>
      <c r="D670">
        <v>17.6875</v>
      </c>
      <c r="E670">
        <v>78.625</v>
      </c>
      <c r="F670">
        <v>3.5</v>
      </c>
    </row>
    <row r="671" spans="1:6" x14ac:dyDescent="0.2">
      <c r="A671" s="3">
        <v>44866</v>
      </c>
      <c r="B671">
        <v>8.2593361089999995</v>
      </c>
      <c r="C671">
        <v>0</v>
      </c>
      <c r="D671">
        <v>17.024999999999999</v>
      </c>
      <c r="E671">
        <v>84.375</v>
      </c>
      <c r="F671">
        <v>4.9583333329999997</v>
      </c>
    </row>
    <row r="672" spans="1:6" x14ac:dyDescent="0.2">
      <c r="A672" s="3">
        <v>44867</v>
      </c>
      <c r="B672">
        <v>8.2593361089999995</v>
      </c>
      <c r="C672">
        <v>3.7499999999999999E-2</v>
      </c>
      <c r="D672">
        <v>17.50416667</v>
      </c>
      <c r="E672">
        <v>84.625</v>
      </c>
      <c r="F672">
        <v>5.875</v>
      </c>
    </row>
    <row r="673" spans="1:6" x14ac:dyDescent="0.2">
      <c r="A673" s="3">
        <v>44868</v>
      </c>
      <c r="B673">
        <v>8.2593361089999995</v>
      </c>
      <c r="C673">
        <v>3.3333333E-2</v>
      </c>
      <c r="D673">
        <v>17.225000000000001</v>
      </c>
      <c r="E673">
        <v>85.083333330000002</v>
      </c>
      <c r="F673">
        <v>6.125</v>
      </c>
    </row>
    <row r="674" spans="1:6" x14ac:dyDescent="0.2">
      <c r="A674" s="3">
        <v>44869</v>
      </c>
      <c r="B674">
        <v>8.2593361089999995</v>
      </c>
      <c r="C674">
        <v>0.43333333299999999</v>
      </c>
      <c r="D674">
        <v>17.5625</v>
      </c>
      <c r="E674">
        <v>74.833333330000002</v>
      </c>
      <c r="F674">
        <v>17.666666670000001</v>
      </c>
    </row>
    <row r="675" spans="1:6" x14ac:dyDescent="0.2">
      <c r="A675" s="3">
        <v>44870</v>
      </c>
      <c r="B675">
        <v>8.2593361089999995</v>
      </c>
      <c r="C675">
        <v>4.1666669999999998E-3</v>
      </c>
      <c r="D675">
        <v>15.579166669999999</v>
      </c>
      <c r="E675">
        <v>51.333333330000002</v>
      </c>
      <c r="F675">
        <v>33.833333330000002</v>
      </c>
    </row>
    <row r="676" spans="1:6" x14ac:dyDescent="0.2">
      <c r="A676" s="3">
        <v>44871</v>
      </c>
      <c r="B676">
        <v>8.2593361089999995</v>
      </c>
      <c r="C676">
        <v>0</v>
      </c>
      <c r="D676">
        <v>14.0875</v>
      </c>
      <c r="E676">
        <v>51.375</v>
      </c>
      <c r="F676">
        <v>19.666666670000001</v>
      </c>
    </row>
    <row r="677" spans="1:6" x14ac:dyDescent="0.2">
      <c r="A677" s="3">
        <v>44872</v>
      </c>
      <c r="B677">
        <v>7.4275000000000002</v>
      </c>
      <c r="C677">
        <v>0</v>
      </c>
      <c r="D677">
        <v>14.3</v>
      </c>
      <c r="E677">
        <v>62.708333330000002</v>
      </c>
      <c r="F677">
        <v>6.5833333329999997</v>
      </c>
    </row>
    <row r="678" spans="1:6" x14ac:dyDescent="0.2">
      <c r="A678" s="3">
        <v>44873</v>
      </c>
      <c r="B678">
        <v>7.6955208329999998</v>
      </c>
      <c r="C678">
        <v>0</v>
      </c>
      <c r="D678">
        <v>14.30833333</v>
      </c>
      <c r="E678">
        <v>70.625</v>
      </c>
      <c r="F678">
        <v>5.2083333329999997</v>
      </c>
    </row>
    <row r="679" spans="1:6" x14ac:dyDescent="0.2">
      <c r="A679" s="3">
        <v>44874</v>
      </c>
      <c r="B679">
        <v>6.9612499999999997</v>
      </c>
      <c r="C679">
        <v>4.1666666999999998E-2</v>
      </c>
      <c r="D679">
        <v>16.154166669999999</v>
      </c>
      <c r="E679">
        <v>78.458333330000002</v>
      </c>
      <c r="F679">
        <v>8.1666666669999994</v>
      </c>
    </row>
    <row r="680" spans="1:6" x14ac:dyDescent="0.2">
      <c r="A680" s="3">
        <v>44875</v>
      </c>
      <c r="B680">
        <v>7.0984375000000002</v>
      </c>
      <c r="C680">
        <v>0.304166667</v>
      </c>
      <c r="D680">
        <v>16.262499999999999</v>
      </c>
      <c r="E680">
        <v>76.208333330000002</v>
      </c>
      <c r="F680">
        <v>12.29166667</v>
      </c>
    </row>
    <row r="681" spans="1:6" x14ac:dyDescent="0.2">
      <c r="A681" s="3">
        <v>44876</v>
      </c>
      <c r="B681">
        <v>6.7951041669999999</v>
      </c>
      <c r="C681">
        <v>0</v>
      </c>
      <c r="D681">
        <v>15.56666667</v>
      </c>
      <c r="E681">
        <v>61</v>
      </c>
      <c r="F681">
        <v>16.041666670000001</v>
      </c>
    </row>
    <row r="682" spans="1:6" x14ac:dyDescent="0.2">
      <c r="A682" s="3">
        <v>44877</v>
      </c>
      <c r="B682">
        <v>6.1566666669999996</v>
      </c>
      <c r="C682">
        <v>4.1666669999999998E-3</v>
      </c>
      <c r="D682">
        <v>16.520833329999999</v>
      </c>
      <c r="E682">
        <v>48.583333330000002</v>
      </c>
      <c r="F682">
        <v>12.79166667</v>
      </c>
    </row>
    <row r="683" spans="1:6" x14ac:dyDescent="0.2">
      <c r="A683" s="3">
        <v>44878</v>
      </c>
      <c r="B683">
        <v>6.3181250000000002</v>
      </c>
      <c r="C683">
        <v>4.1666669999999998E-3</v>
      </c>
      <c r="D683">
        <v>13.87083333</v>
      </c>
      <c r="E683">
        <v>60.458333330000002</v>
      </c>
      <c r="F683">
        <v>30.708333329999999</v>
      </c>
    </row>
    <row r="684" spans="1:6" x14ac:dyDescent="0.2">
      <c r="A684" s="3">
        <v>44879</v>
      </c>
      <c r="B684">
        <v>6.8163541670000001</v>
      </c>
      <c r="C684">
        <v>0.170833333</v>
      </c>
      <c r="D684">
        <v>13.383333329999999</v>
      </c>
      <c r="E684">
        <v>72.791666669999998</v>
      </c>
      <c r="F684">
        <v>15.95833333</v>
      </c>
    </row>
    <row r="685" spans="1:6" x14ac:dyDescent="0.2">
      <c r="A685" s="3">
        <v>44880</v>
      </c>
      <c r="B685">
        <v>7.8482291670000004</v>
      </c>
      <c r="C685">
        <v>2.0833332999999999E-2</v>
      </c>
      <c r="D685">
        <v>13.141666669999999</v>
      </c>
      <c r="E685">
        <v>77.375</v>
      </c>
      <c r="F685">
        <v>7.75</v>
      </c>
    </row>
    <row r="686" spans="1:6" x14ac:dyDescent="0.2">
      <c r="A686" s="3">
        <v>44881</v>
      </c>
      <c r="B686">
        <v>6.835</v>
      </c>
      <c r="C686">
        <v>0.35</v>
      </c>
      <c r="D686">
        <v>14.204166669999999</v>
      </c>
      <c r="E686">
        <v>89.416666669999998</v>
      </c>
      <c r="F686">
        <v>5.125</v>
      </c>
    </row>
    <row r="687" spans="1:6" x14ac:dyDescent="0.2">
      <c r="A687" s="3">
        <v>44882</v>
      </c>
      <c r="B687">
        <v>7.247083333</v>
      </c>
      <c r="C687">
        <v>4.1666669999999998E-3</v>
      </c>
      <c r="D687">
        <v>14.14583333</v>
      </c>
      <c r="E687">
        <v>78.912500480000006</v>
      </c>
      <c r="F687">
        <v>8.1666666669999994</v>
      </c>
    </row>
    <row r="688" spans="1:6" x14ac:dyDescent="0.2">
      <c r="A688" s="3">
        <v>44883</v>
      </c>
      <c r="B688">
        <v>6.8161458330000002</v>
      </c>
      <c r="C688">
        <v>1.058333333</v>
      </c>
      <c r="D688">
        <v>13.65416667</v>
      </c>
      <c r="E688">
        <v>79.958333330000002</v>
      </c>
      <c r="F688">
        <v>9.125</v>
      </c>
    </row>
    <row r="689" spans="1:6" x14ac:dyDescent="0.2">
      <c r="A689" s="3">
        <v>44884</v>
      </c>
      <c r="B689">
        <v>5.9964583329999996</v>
      </c>
      <c r="C689">
        <v>2.0833332999999999E-2</v>
      </c>
      <c r="D689">
        <v>11.53333333</v>
      </c>
      <c r="E689">
        <v>69.708333330000002</v>
      </c>
      <c r="F689">
        <v>22.833333329999999</v>
      </c>
    </row>
    <row r="690" spans="1:6" x14ac:dyDescent="0.2">
      <c r="A690" s="3">
        <v>44885</v>
      </c>
      <c r="B690">
        <v>6.026354167</v>
      </c>
      <c r="C690">
        <v>8.3333330000000001E-3</v>
      </c>
      <c r="D690">
        <v>9.9499999999999993</v>
      </c>
      <c r="E690">
        <v>65.916666669999998</v>
      </c>
      <c r="F690">
        <v>22.25</v>
      </c>
    </row>
    <row r="691" spans="1:6" x14ac:dyDescent="0.2">
      <c r="A691" s="3">
        <v>44886</v>
      </c>
      <c r="B691">
        <v>6.9946875000000004</v>
      </c>
      <c r="C691">
        <v>0</v>
      </c>
      <c r="D691">
        <v>10.66666667</v>
      </c>
      <c r="E691">
        <v>64.208333330000002</v>
      </c>
      <c r="F691">
        <v>7.3333333329999997</v>
      </c>
    </row>
    <row r="692" spans="1:6" x14ac:dyDescent="0.2">
      <c r="A692" s="3">
        <v>44887</v>
      </c>
      <c r="B692">
        <v>7.1958333330000004</v>
      </c>
      <c r="C692">
        <v>0.39166666700000002</v>
      </c>
      <c r="D692">
        <v>10.47083333</v>
      </c>
      <c r="E692">
        <v>73.125</v>
      </c>
      <c r="F692">
        <v>48.166666669999998</v>
      </c>
    </row>
    <row r="693" spans="1:6" x14ac:dyDescent="0.2">
      <c r="A693" s="3">
        <v>44888</v>
      </c>
      <c r="B693">
        <v>6.5274999999999999</v>
      </c>
      <c r="C693">
        <v>7.4999999999999997E-2</v>
      </c>
      <c r="D693">
        <v>9.9124999999999996</v>
      </c>
      <c r="E693">
        <v>69.958333330000002</v>
      </c>
      <c r="F693">
        <v>18.291666670000001</v>
      </c>
    </row>
    <row r="694" spans="1:6" x14ac:dyDescent="0.2">
      <c r="A694" s="3">
        <v>44889</v>
      </c>
      <c r="B694">
        <v>6.2247709369999997</v>
      </c>
      <c r="C694">
        <v>0</v>
      </c>
      <c r="D694">
        <v>11.90833333</v>
      </c>
      <c r="E694">
        <v>75.916666669999998</v>
      </c>
      <c r="F694">
        <v>6.2916666670000003</v>
      </c>
    </row>
    <row r="695" spans="1:6" x14ac:dyDescent="0.2">
      <c r="A695" s="3">
        <v>44890</v>
      </c>
      <c r="B695">
        <v>6.380833333</v>
      </c>
      <c r="C695">
        <v>0</v>
      </c>
      <c r="D695">
        <v>12.829166669999999</v>
      </c>
      <c r="E695">
        <v>73.916666669999998</v>
      </c>
      <c r="F695">
        <v>6.3333333329999997</v>
      </c>
    </row>
    <row r="696" spans="1:6" x14ac:dyDescent="0.2">
      <c r="A696" s="3">
        <v>44891</v>
      </c>
      <c r="B696">
        <v>5.580104167</v>
      </c>
      <c r="C696">
        <v>0</v>
      </c>
      <c r="D696">
        <v>12.78333333</v>
      </c>
      <c r="E696">
        <v>54.833333330000002</v>
      </c>
      <c r="F696">
        <v>16.833333329999999</v>
      </c>
    </row>
    <row r="697" spans="1:6" x14ac:dyDescent="0.2">
      <c r="A697" s="3">
        <v>44892</v>
      </c>
      <c r="B697">
        <v>5.8102083330000003</v>
      </c>
      <c r="C697">
        <v>0</v>
      </c>
      <c r="D697">
        <v>11.133333329999999</v>
      </c>
      <c r="E697">
        <v>56.541666669999998</v>
      </c>
      <c r="F697">
        <v>23.875</v>
      </c>
    </row>
    <row r="698" spans="1:6" x14ac:dyDescent="0.2">
      <c r="A698" s="3">
        <v>44893</v>
      </c>
      <c r="B698">
        <v>6.3403124999999996</v>
      </c>
      <c r="C698">
        <v>0</v>
      </c>
      <c r="D698">
        <v>9.1458333330000006</v>
      </c>
      <c r="E698">
        <v>58.833333330000002</v>
      </c>
      <c r="F698">
        <v>18.375</v>
      </c>
    </row>
    <row r="699" spans="1:6" x14ac:dyDescent="0.2">
      <c r="A699" s="3">
        <v>44894</v>
      </c>
      <c r="B699">
        <v>6.94625</v>
      </c>
      <c r="C699">
        <v>8.3333330000000001E-3</v>
      </c>
      <c r="D699">
        <v>7.6875</v>
      </c>
      <c r="E699">
        <v>65</v>
      </c>
      <c r="F699">
        <v>35.125</v>
      </c>
    </row>
    <row r="700" spans="1:6" x14ac:dyDescent="0.2">
      <c r="A700" s="3">
        <v>44895</v>
      </c>
      <c r="B700">
        <v>6.4474999999999998</v>
      </c>
      <c r="C700">
        <v>0</v>
      </c>
      <c r="D700">
        <v>8.1374999999999993</v>
      </c>
      <c r="E700">
        <v>65.083333330000002</v>
      </c>
      <c r="F700">
        <v>44.25</v>
      </c>
    </row>
    <row r="701" spans="1:6" x14ac:dyDescent="0.2">
      <c r="A701" s="3">
        <v>44896</v>
      </c>
      <c r="B701">
        <v>6.5123958330000002</v>
      </c>
      <c r="C701">
        <v>1.2500000000000001E-2</v>
      </c>
      <c r="D701">
        <v>8.3708333330000002</v>
      </c>
      <c r="E701">
        <v>66.333333330000002</v>
      </c>
      <c r="F701">
        <v>46.875</v>
      </c>
    </row>
    <row r="702" spans="1:6" x14ac:dyDescent="0.2">
      <c r="A702" s="3">
        <v>44897</v>
      </c>
      <c r="B702">
        <v>6.5203125000000002</v>
      </c>
      <c r="C702">
        <v>2.9166667E-2</v>
      </c>
      <c r="D702">
        <v>8.2958333329999991</v>
      </c>
      <c r="E702">
        <v>69.333333330000002</v>
      </c>
      <c r="F702">
        <v>19.958333329999999</v>
      </c>
    </row>
    <row r="703" spans="1:6" x14ac:dyDescent="0.2">
      <c r="A703" s="3">
        <v>44898</v>
      </c>
      <c r="B703">
        <v>5.6830208329999996</v>
      </c>
      <c r="C703">
        <v>1.6666667E-2</v>
      </c>
      <c r="D703">
        <v>9.3708333330000002</v>
      </c>
      <c r="E703">
        <v>66.170653200000004</v>
      </c>
      <c r="F703">
        <v>23.25</v>
      </c>
    </row>
    <row r="704" spans="1:6" x14ac:dyDescent="0.2">
      <c r="A704" s="3">
        <v>44899</v>
      </c>
      <c r="B704">
        <v>6.4527083330000004</v>
      </c>
      <c r="C704">
        <v>0.43333333299999999</v>
      </c>
      <c r="D704">
        <v>10.52916667</v>
      </c>
      <c r="E704">
        <v>76.833333330000002</v>
      </c>
      <c r="F704">
        <v>20.916666670000001</v>
      </c>
    </row>
    <row r="705" spans="1:6" x14ac:dyDescent="0.2">
      <c r="A705" s="3">
        <v>44900</v>
      </c>
      <c r="B705">
        <v>6.2960416669999999</v>
      </c>
      <c r="C705">
        <v>0.65</v>
      </c>
      <c r="D705">
        <v>13.137499999999999</v>
      </c>
      <c r="E705">
        <v>82.791666669999998</v>
      </c>
      <c r="F705">
        <v>10.91666667</v>
      </c>
    </row>
    <row r="706" spans="1:6" x14ac:dyDescent="0.2">
      <c r="A706" s="3">
        <v>44901</v>
      </c>
      <c r="B706">
        <v>6.9820833330000003</v>
      </c>
      <c r="C706">
        <v>0</v>
      </c>
      <c r="D706">
        <v>10.954166669999999</v>
      </c>
      <c r="E706">
        <v>81.857638890000004</v>
      </c>
      <c r="F706">
        <v>7.6666666670000003</v>
      </c>
    </row>
    <row r="707" spans="1:6" x14ac:dyDescent="0.2">
      <c r="A707" s="3">
        <v>44902</v>
      </c>
      <c r="B707">
        <v>6.307604167</v>
      </c>
      <c r="C707">
        <v>0</v>
      </c>
      <c r="D707">
        <v>9.8625000000000007</v>
      </c>
      <c r="E707">
        <v>69.791666669999998</v>
      </c>
      <c r="F707">
        <v>20.541666670000001</v>
      </c>
    </row>
    <row r="708" spans="1:6" x14ac:dyDescent="0.2">
      <c r="A708" s="3">
        <v>44903</v>
      </c>
      <c r="B708">
        <v>5.9516666669999996</v>
      </c>
      <c r="C708">
        <v>0.19166666700000001</v>
      </c>
      <c r="D708">
        <v>9.7125000000000004</v>
      </c>
      <c r="E708">
        <v>78.833333330000002</v>
      </c>
      <c r="F708">
        <v>10.91666667</v>
      </c>
    </row>
    <row r="709" spans="1:6" x14ac:dyDescent="0.2">
      <c r="A709" s="3">
        <v>44904</v>
      </c>
      <c r="B709">
        <v>6.2784374999999999</v>
      </c>
      <c r="C709">
        <v>1.6541666669999999</v>
      </c>
      <c r="D709">
        <v>11.49583333</v>
      </c>
      <c r="E709">
        <v>91.75</v>
      </c>
      <c r="F709">
        <v>7.1666666670000003</v>
      </c>
    </row>
    <row r="710" spans="1:6" x14ac:dyDescent="0.2">
      <c r="A710" s="3">
        <v>44905</v>
      </c>
      <c r="B710">
        <v>6.0471874999999997</v>
      </c>
      <c r="C710">
        <v>0.320833333</v>
      </c>
      <c r="D710">
        <v>10.16666667</v>
      </c>
      <c r="E710">
        <v>85.708333330000002</v>
      </c>
      <c r="F710">
        <v>23.041666670000001</v>
      </c>
    </row>
    <row r="711" spans="1:6" x14ac:dyDescent="0.2">
      <c r="A711" s="3">
        <v>44906</v>
      </c>
      <c r="B711">
        <v>6.0482291669999997</v>
      </c>
      <c r="C711">
        <v>7.0833332999999998E-2</v>
      </c>
      <c r="D711">
        <v>6.983333333</v>
      </c>
      <c r="E711">
        <v>71.666666669999998</v>
      </c>
      <c r="F711">
        <v>36.875</v>
      </c>
    </row>
    <row r="712" spans="1:6" x14ac:dyDescent="0.2">
      <c r="A712" s="3">
        <v>44907</v>
      </c>
      <c r="B712">
        <v>7.2081249999999999</v>
      </c>
      <c r="C712">
        <v>0</v>
      </c>
      <c r="D712">
        <v>4.2750000000000004</v>
      </c>
      <c r="E712">
        <v>56.541666669999998</v>
      </c>
      <c r="F712">
        <v>22.625</v>
      </c>
    </row>
    <row r="713" spans="1:6" x14ac:dyDescent="0.2">
      <c r="A713" s="3">
        <v>44908</v>
      </c>
      <c r="B713">
        <v>7.7344791669999999</v>
      </c>
      <c r="C713">
        <v>0</v>
      </c>
      <c r="D713">
        <v>3.4083333329999999</v>
      </c>
      <c r="E713">
        <v>50.791666669999998</v>
      </c>
      <c r="F713">
        <v>22</v>
      </c>
    </row>
    <row r="714" spans="1:6" x14ac:dyDescent="0.2">
      <c r="A714" s="3">
        <v>44909</v>
      </c>
      <c r="B714">
        <v>6.4212499999999997</v>
      </c>
      <c r="C714">
        <v>0</v>
      </c>
      <c r="D714">
        <v>6.8375000000000004</v>
      </c>
      <c r="E714">
        <v>60.25</v>
      </c>
      <c r="F714">
        <v>7.5</v>
      </c>
    </row>
    <row r="715" spans="1:6" x14ac:dyDescent="0.2">
      <c r="A715" s="3">
        <v>44910</v>
      </c>
      <c r="B715">
        <v>7.07</v>
      </c>
      <c r="C715">
        <v>0.30833333299999999</v>
      </c>
      <c r="D715">
        <v>9.1416666670000009</v>
      </c>
      <c r="E715">
        <v>75.166666669999998</v>
      </c>
      <c r="F715">
        <v>7.2877779680000003</v>
      </c>
    </row>
    <row r="716" spans="1:6" x14ac:dyDescent="0.2">
      <c r="A716" s="3">
        <v>44911</v>
      </c>
      <c r="B716">
        <v>6.9215625000000003</v>
      </c>
      <c r="C716">
        <v>1.058333333</v>
      </c>
      <c r="D716">
        <v>11.75</v>
      </c>
      <c r="E716">
        <v>93.583333330000002</v>
      </c>
      <c r="F716">
        <v>9.0416666669999994</v>
      </c>
    </row>
    <row r="717" spans="1:6" x14ac:dyDescent="0.2">
      <c r="A717" s="3">
        <v>44912</v>
      </c>
      <c r="B717">
        <v>5.6136458329999996</v>
      </c>
      <c r="C717">
        <v>0.204166667</v>
      </c>
      <c r="D717">
        <v>8.6750000000000007</v>
      </c>
      <c r="E717">
        <v>77.208333330000002</v>
      </c>
      <c r="F717">
        <v>30.291666670000001</v>
      </c>
    </row>
    <row r="718" spans="1:6" x14ac:dyDescent="0.2">
      <c r="A718" s="3">
        <v>44913</v>
      </c>
      <c r="B718">
        <v>5.9735416670000001</v>
      </c>
      <c r="C718">
        <v>0</v>
      </c>
      <c r="D718">
        <v>5.8</v>
      </c>
      <c r="E718">
        <v>62.333333330000002</v>
      </c>
      <c r="F718">
        <v>31.541666670000001</v>
      </c>
    </row>
    <row r="719" spans="1:6" x14ac:dyDescent="0.2">
      <c r="A719" s="3">
        <v>44914</v>
      </c>
      <c r="B719">
        <v>6.6058333329999996</v>
      </c>
      <c r="C719">
        <v>0</v>
      </c>
      <c r="D719">
        <v>6.2083333329999997</v>
      </c>
      <c r="E719">
        <v>64.375</v>
      </c>
      <c r="F719">
        <v>11.79166667</v>
      </c>
    </row>
    <row r="720" spans="1:6" x14ac:dyDescent="0.2">
      <c r="A720" s="3">
        <v>44915</v>
      </c>
      <c r="B720">
        <v>7.2292708330000002</v>
      </c>
      <c r="C720">
        <v>0</v>
      </c>
      <c r="D720">
        <v>7.4166666670000003</v>
      </c>
      <c r="E720">
        <v>79.958333330000002</v>
      </c>
      <c r="F720">
        <v>4.625</v>
      </c>
    </row>
    <row r="721" spans="1:6" x14ac:dyDescent="0.2">
      <c r="A721" s="3">
        <v>44916</v>
      </c>
      <c r="B721">
        <v>6.5738541670000004</v>
      </c>
      <c r="C721">
        <v>3.7499999999999999E-2</v>
      </c>
      <c r="D721">
        <v>8.3249999999999993</v>
      </c>
      <c r="E721">
        <v>85.833333330000002</v>
      </c>
      <c r="F721">
        <v>4.5416666670000003</v>
      </c>
    </row>
    <row r="722" spans="1:6" x14ac:dyDescent="0.2">
      <c r="A722" s="3">
        <v>44917</v>
      </c>
      <c r="B722">
        <v>6.4044791669999999</v>
      </c>
      <c r="C722">
        <v>8.3333332999999996E-2</v>
      </c>
      <c r="D722">
        <v>8.5250000000000004</v>
      </c>
      <c r="E722">
        <v>93.458333330000002</v>
      </c>
      <c r="F722">
        <v>6.8333333329999997</v>
      </c>
    </row>
    <row r="723" spans="1:6" x14ac:dyDescent="0.2">
      <c r="A723" s="3">
        <v>44918</v>
      </c>
      <c r="B723">
        <v>5.9108333330000002</v>
      </c>
      <c r="C723">
        <v>1.6666667E-2</v>
      </c>
      <c r="D723">
        <v>9.7458333330000002</v>
      </c>
      <c r="E723">
        <v>91.791666669999998</v>
      </c>
      <c r="F723">
        <v>5.125</v>
      </c>
    </row>
    <row r="724" spans="1:6" x14ac:dyDescent="0.2">
      <c r="A724" s="3">
        <v>44919</v>
      </c>
      <c r="B724">
        <v>5.6594791669999998</v>
      </c>
      <c r="C724">
        <v>3.3333333E-2</v>
      </c>
      <c r="D724">
        <v>9.9375</v>
      </c>
      <c r="E724">
        <v>87.906771190000001</v>
      </c>
      <c r="F724">
        <v>4.6666666670000003</v>
      </c>
    </row>
    <row r="725" spans="1:6" x14ac:dyDescent="0.2">
      <c r="A725" s="3">
        <v>44920</v>
      </c>
      <c r="B725">
        <v>5.6915624999999999</v>
      </c>
      <c r="C725">
        <v>0</v>
      </c>
      <c r="D725">
        <v>10.97916667</v>
      </c>
      <c r="E725">
        <v>86.708333330000002</v>
      </c>
      <c r="F725">
        <v>4.25</v>
      </c>
    </row>
    <row r="726" spans="1:6" x14ac:dyDescent="0.2">
      <c r="A726" s="3">
        <v>44921</v>
      </c>
      <c r="B726">
        <v>5.4506249999999996</v>
      </c>
      <c r="C726">
        <v>1.2500000000000001E-2</v>
      </c>
      <c r="D726">
        <v>10.679166670000001</v>
      </c>
      <c r="E726">
        <v>88.164129500000001</v>
      </c>
      <c r="F726">
        <v>3.875</v>
      </c>
    </row>
    <row r="727" spans="1:6" x14ac:dyDescent="0.2">
      <c r="A727" s="3">
        <v>44922</v>
      </c>
      <c r="B727">
        <v>6.4768749999999997</v>
      </c>
      <c r="C727">
        <v>0</v>
      </c>
      <c r="D727">
        <v>10.91666667</v>
      </c>
      <c r="E727">
        <v>89.234027780000005</v>
      </c>
      <c r="F727">
        <v>6.6666666670000003</v>
      </c>
    </row>
    <row r="728" spans="1:6" x14ac:dyDescent="0.2">
      <c r="A728" s="3">
        <v>44923</v>
      </c>
      <c r="B728">
        <v>5.9783333330000001</v>
      </c>
      <c r="C728">
        <v>8.3333330000000001E-3</v>
      </c>
      <c r="D728">
        <v>10.87083333</v>
      </c>
      <c r="E728">
        <v>73.083333330000002</v>
      </c>
      <c r="F728">
        <v>13.29166667</v>
      </c>
    </row>
    <row r="729" spans="1:6" x14ac:dyDescent="0.2">
      <c r="A729" s="3">
        <v>44924</v>
      </c>
      <c r="B729">
        <v>6.0906250000000002</v>
      </c>
      <c r="C729">
        <v>0.1125</v>
      </c>
      <c r="D729">
        <v>10.704166669999999</v>
      </c>
      <c r="E729">
        <v>84.024532710000003</v>
      </c>
      <c r="F729">
        <v>4.2916666670000003</v>
      </c>
    </row>
    <row r="730" spans="1:6" x14ac:dyDescent="0.2">
      <c r="A730" s="3">
        <v>44925</v>
      </c>
      <c r="B730">
        <v>6.0473793440000003</v>
      </c>
      <c r="C730">
        <v>0.39583333300000001</v>
      </c>
      <c r="D730">
        <v>12.08333333</v>
      </c>
      <c r="E730">
        <v>93.541666669999998</v>
      </c>
      <c r="F730">
        <v>4.0416666670000003</v>
      </c>
    </row>
    <row r="731" spans="1:6" x14ac:dyDescent="0.2">
      <c r="A731" s="3">
        <v>44926</v>
      </c>
      <c r="B731">
        <v>5.3939583329999996</v>
      </c>
      <c r="C731">
        <v>0</v>
      </c>
      <c r="D731">
        <v>11.8125</v>
      </c>
      <c r="E731">
        <v>94.083333330000002</v>
      </c>
      <c r="F731">
        <v>5.2916666670000003</v>
      </c>
    </row>
    <row r="732" spans="1:6" x14ac:dyDescent="0.2">
      <c r="A732" s="3">
        <v>44927</v>
      </c>
      <c r="B732">
        <v>5.7328124999999996</v>
      </c>
      <c r="C732">
        <v>0</v>
      </c>
      <c r="D732">
        <v>11.87916667</v>
      </c>
      <c r="E732">
        <v>93.791666669999998</v>
      </c>
      <c r="F732">
        <v>4.8333333329999997</v>
      </c>
    </row>
    <row r="733" spans="1:6" x14ac:dyDescent="0.2">
      <c r="A733" s="3">
        <v>44928</v>
      </c>
      <c r="B733">
        <v>5.85</v>
      </c>
      <c r="C733">
        <v>1.6666667E-2</v>
      </c>
      <c r="D733">
        <v>10.77916667</v>
      </c>
      <c r="E733">
        <v>96.416666669999998</v>
      </c>
      <c r="F733">
        <v>4.7083333329999997</v>
      </c>
    </row>
    <row r="734" spans="1:6" x14ac:dyDescent="0.2">
      <c r="A734" s="3">
        <v>44929</v>
      </c>
      <c r="B734">
        <v>6.6841666670000004</v>
      </c>
      <c r="C734">
        <v>4.1666669999999998E-3</v>
      </c>
      <c r="D734">
        <v>11.58333333</v>
      </c>
      <c r="E734">
        <v>98.208333330000002</v>
      </c>
      <c r="F734">
        <v>4.1666666670000003</v>
      </c>
    </row>
    <row r="735" spans="1:6" x14ac:dyDescent="0.2">
      <c r="A735" s="3">
        <v>44930</v>
      </c>
      <c r="B735">
        <v>5.8168749999999996</v>
      </c>
      <c r="C735">
        <v>0</v>
      </c>
      <c r="D735">
        <v>11.60416667</v>
      </c>
      <c r="E735">
        <v>92.875</v>
      </c>
      <c r="F735">
        <v>5.375</v>
      </c>
    </row>
    <row r="736" spans="1:6" x14ac:dyDescent="0.2">
      <c r="A736" s="3">
        <v>44931</v>
      </c>
      <c r="B736">
        <v>5.9775</v>
      </c>
      <c r="C736">
        <v>0</v>
      </c>
      <c r="D736">
        <v>10.8</v>
      </c>
      <c r="E736">
        <v>90.416666669999998</v>
      </c>
      <c r="F736">
        <v>4.9166666670000003</v>
      </c>
    </row>
    <row r="737" spans="1:6" x14ac:dyDescent="0.2">
      <c r="A737" s="3">
        <v>44932</v>
      </c>
      <c r="B737">
        <v>5.1836458329999999</v>
      </c>
      <c r="C737">
        <v>8.3333330000000001E-3</v>
      </c>
      <c r="D737">
        <v>11.737500000000001</v>
      </c>
      <c r="E737">
        <v>80.125</v>
      </c>
      <c r="F737">
        <v>5</v>
      </c>
    </row>
    <row r="738" spans="1:6" x14ac:dyDescent="0.2">
      <c r="A738" s="3">
        <v>44933</v>
      </c>
      <c r="B738">
        <v>5.3174999999999999</v>
      </c>
      <c r="C738">
        <v>0</v>
      </c>
      <c r="D738">
        <v>10.762499999999999</v>
      </c>
      <c r="E738">
        <v>81.666666669999998</v>
      </c>
      <c r="F738">
        <v>4.2916666670000003</v>
      </c>
    </row>
    <row r="739" spans="1:6" x14ac:dyDescent="0.2">
      <c r="A739" s="3">
        <v>44934</v>
      </c>
      <c r="B739">
        <v>5.8303124999999998</v>
      </c>
      <c r="C739">
        <v>0.19166666700000001</v>
      </c>
      <c r="D739">
        <v>10.679166670000001</v>
      </c>
      <c r="E739">
        <v>87</v>
      </c>
      <c r="F739">
        <v>4.625</v>
      </c>
    </row>
    <row r="740" spans="1:6" x14ac:dyDescent="0.2">
      <c r="A740" s="3">
        <v>44935</v>
      </c>
      <c r="B740">
        <v>6.0909374999999999</v>
      </c>
      <c r="C740">
        <v>0.75833333300000005</v>
      </c>
      <c r="D740">
        <v>11.741666670000001</v>
      </c>
      <c r="E740">
        <v>86.333333330000002</v>
      </c>
      <c r="F740">
        <v>9.0833333330000006</v>
      </c>
    </row>
    <row r="741" spans="1:6" x14ac:dyDescent="0.2">
      <c r="A741" s="3">
        <v>44936</v>
      </c>
      <c r="B741">
        <v>6.9904166669999999</v>
      </c>
      <c r="C741">
        <v>8.3333330000000001E-3</v>
      </c>
      <c r="D741">
        <v>10.070833329999999</v>
      </c>
      <c r="E741">
        <v>75.5</v>
      </c>
      <c r="F741">
        <v>5.7083333329999997</v>
      </c>
    </row>
    <row r="742" spans="1:6" x14ac:dyDescent="0.2">
      <c r="A742" s="3">
        <v>44937</v>
      </c>
      <c r="B742">
        <v>6.793958333</v>
      </c>
      <c r="C742">
        <v>0</v>
      </c>
      <c r="D742">
        <v>9.4083333329999999</v>
      </c>
      <c r="E742">
        <v>51.125</v>
      </c>
      <c r="F742">
        <v>5.6666666670000003</v>
      </c>
    </row>
    <row r="743" spans="1:6" x14ac:dyDescent="0.2">
      <c r="A743" s="3">
        <v>44938</v>
      </c>
      <c r="B743">
        <v>7.2291666670000003</v>
      </c>
      <c r="C743">
        <v>0</v>
      </c>
      <c r="D743">
        <v>10.37916667</v>
      </c>
      <c r="E743">
        <v>65.833333330000002</v>
      </c>
      <c r="F743">
        <v>6.375</v>
      </c>
    </row>
    <row r="744" spans="1:6" x14ac:dyDescent="0.2">
      <c r="A744" s="3">
        <v>44939</v>
      </c>
      <c r="B744">
        <v>6.8364583330000004</v>
      </c>
      <c r="C744">
        <v>0</v>
      </c>
      <c r="D744">
        <v>10.09583333</v>
      </c>
      <c r="E744">
        <v>72.708333330000002</v>
      </c>
      <c r="F744">
        <v>4.125</v>
      </c>
    </row>
    <row r="745" spans="1:6" x14ac:dyDescent="0.2">
      <c r="A745" s="3">
        <v>44940</v>
      </c>
      <c r="B745">
        <v>6.1587500000000004</v>
      </c>
      <c r="C745">
        <v>1.2500000000000001E-2</v>
      </c>
      <c r="D745">
        <v>10.704166669999999</v>
      </c>
      <c r="E745">
        <v>70.208333330000002</v>
      </c>
      <c r="F745">
        <v>7.5833333329999997</v>
      </c>
    </row>
    <row r="746" spans="1:6" x14ac:dyDescent="0.2">
      <c r="A746" s="3">
        <v>44941</v>
      </c>
      <c r="B746">
        <v>5.8251041670000001</v>
      </c>
      <c r="C746">
        <v>0.26666666700000002</v>
      </c>
      <c r="D746">
        <v>10.612500000000001</v>
      </c>
      <c r="E746">
        <v>78.041666669999998</v>
      </c>
      <c r="F746">
        <v>7.7083333329999997</v>
      </c>
    </row>
    <row r="747" spans="1:6" x14ac:dyDescent="0.2">
      <c r="A747" s="3">
        <v>44942</v>
      </c>
      <c r="B747">
        <v>8.2593361089999995</v>
      </c>
      <c r="C747">
        <v>1.308333333</v>
      </c>
      <c r="D747">
        <v>8.9749999999999996</v>
      </c>
      <c r="E747">
        <v>81.541666669999998</v>
      </c>
      <c r="F747">
        <v>20.375</v>
      </c>
    </row>
    <row r="748" spans="1:6" x14ac:dyDescent="0.2">
      <c r="A748" s="3">
        <v>44943</v>
      </c>
      <c r="B748">
        <v>8.2593361089999995</v>
      </c>
      <c r="C748">
        <v>0.38750000000000001</v>
      </c>
      <c r="D748">
        <v>8.25</v>
      </c>
      <c r="E748">
        <v>83.791666669999998</v>
      </c>
      <c r="F748">
        <v>12.04166667</v>
      </c>
    </row>
    <row r="749" spans="1:6" x14ac:dyDescent="0.2">
      <c r="A749" s="3">
        <v>44944</v>
      </c>
      <c r="B749">
        <v>8.2593361089999995</v>
      </c>
      <c r="C749">
        <v>0.14583333300000001</v>
      </c>
      <c r="D749">
        <v>8.1833333330000002</v>
      </c>
      <c r="E749">
        <v>83.041666669999998</v>
      </c>
      <c r="F749">
        <v>11.75</v>
      </c>
    </row>
    <row r="750" spans="1:6" x14ac:dyDescent="0.2">
      <c r="A750" s="3">
        <v>44945</v>
      </c>
      <c r="B750">
        <v>8.2593361089999995</v>
      </c>
      <c r="C750">
        <v>3.7499999999999999E-2</v>
      </c>
      <c r="D750">
        <v>6.8833333330000004</v>
      </c>
      <c r="E750">
        <v>72.333333330000002</v>
      </c>
      <c r="F750">
        <v>29.208333329999999</v>
      </c>
    </row>
    <row r="751" spans="1:6" x14ac:dyDescent="0.2">
      <c r="A751" s="3">
        <v>44946</v>
      </c>
      <c r="B751">
        <v>8.2593361089999995</v>
      </c>
      <c r="C751">
        <v>9.5833333000000007E-2</v>
      </c>
      <c r="D751">
        <v>5.4625000000000004</v>
      </c>
      <c r="E751">
        <v>60.5</v>
      </c>
      <c r="F751">
        <v>45.416666669999998</v>
      </c>
    </row>
    <row r="752" spans="1:6" x14ac:dyDescent="0.2">
      <c r="A752" s="3">
        <v>44947</v>
      </c>
      <c r="B752">
        <v>8.2593361089999995</v>
      </c>
      <c r="C752">
        <v>0.46250000000000002</v>
      </c>
      <c r="D752">
        <v>5.358333333</v>
      </c>
      <c r="E752">
        <v>56.041666669999998</v>
      </c>
      <c r="F752">
        <v>33.583333330000002</v>
      </c>
    </row>
    <row r="753" spans="1:6" x14ac:dyDescent="0.2">
      <c r="A753" s="3">
        <v>44948</v>
      </c>
      <c r="B753">
        <v>8.2593361089999995</v>
      </c>
      <c r="C753">
        <v>0.70416666699999997</v>
      </c>
      <c r="D753">
        <v>5.7166666670000001</v>
      </c>
      <c r="E753">
        <v>63.75</v>
      </c>
      <c r="F753">
        <v>60.25</v>
      </c>
    </row>
    <row r="754" spans="1:6" x14ac:dyDescent="0.2">
      <c r="A754" s="3">
        <v>44949</v>
      </c>
      <c r="B754">
        <v>7.3260416670000001</v>
      </c>
      <c r="C754">
        <v>2.5000000000000001E-2</v>
      </c>
      <c r="D754">
        <v>7.4458333330000004</v>
      </c>
      <c r="E754">
        <v>68.25</v>
      </c>
      <c r="F754">
        <v>54.666666669999998</v>
      </c>
    </row>
    <row r="755" spans="1:6" x14ac:dyDescent="0.2">
      <c r="A755" s="3">
        <v>44950</v>
      </c>
      <c r="B755">
        <v>8.2389583329999994</v>
      </c>
      <c r="C755">
        <v>8.3333330000000001E-3</v>
      </c>
      <c r="D755">
        <v>8.6041666669999994</v>
      </c>
      <c r="E755">
        <v>66.291666669999998</v>
      </c>
      <c r="F755">
        <v>28.875</v>
      </c>
    </row>
    <row r="756" spans="1:6" x14ac:dyDescent="0.2">
      <c r="A756" s="3">
        <v>44951</v>
      </c>
      <c r="B756">
        <v>7.1665625000000004</v>
      </c>
      <c r="C756">
        <v>0</v>
      </c>
      <c r="D756">
        <v>7.7541666669999998</v>
      </c>
      <c r="E756">
        <v>60.208333330000002</v>
      </c>
      <c r="F756">
        <v>33.208333330000002</v>
      </c>
    </row>
    <row r="757" spans="1:6" x14ac:dyDescent="0.2">
      <c r="A757" s="3">
        <v>44952</v>
      </c>
      <c r="B757">
        <v>7.3059374999999998</v>
      </c>
      <c r="C757">
        <v>0</v>
      </c>
      <c r="D757">
        <v>5.2541666669999998</v>
      </c>
      <c r="E757">
        <v>55</v>
      </c>
      <c r="F757">
        <v>29.791666670000001</v>
      </c>
    </row>
    <row r="758" spans="1:6" x14ac:dyDescent="0.2">
      <c r="A758" s="3">
        <v>44953</v>
      </c>
      <c r="B758">
        <v>7.1538541670000004</v>
      </c>
      <c r="C758">
        <v>0</v>
      </c>
      <c r="D758">
        <v>4.7541666669999998</v>
      </c>
      <c r="E758">
        <v>57.208333330000002</v>
      </c>
      <c r="F758">
        <v>37.791666669999998</v>
      </c>
    </row>
    <row r="759" spans="1:6" x14ac:dyDescent="0.2">
      <c r="A759" s="3">
        <v>44954</v>
      </c>
      <c r="B759">
        <v>6.3106249999999999</v>
      </c>
      <c r="C759">
        <v>0</v>
      </c>
      <c r="D759">
        <v>4.7166666670000001</v>
      </c>
      <c r="E759">
        <v>59.916666669999998</v>
      </c>
      <c r="F759">
        <v>34.708333330000002</v>
      </c>
    </row>
    <row r="760" spans="1:6" x14ac:dyDescent="0.2">
      <c r="A760" s="3">
        <v>44955</v>
      </c>
      <c r="B760">
        <v>6.9426041669999998</v>
      </c>
      <c r="C760">
        <v>0</v>
      </c>
      <c r="D760">
        <v>5.2625000000000002</v>
      </c>
      <c r="E760">
        <v>59.25</v>
      </c>
      <c r="F760">
        <v>18.833333329999999</v>
      </c>
    </row>
    <row r="761" spans="1:6" x14ac:dyDescent="0.2">
      <c r="A761" s="3">
        <v>44956</v>
      </c>
      <c r="B761">
        <v>7.2330208330000003</v>
      </c>
      <c r="C761">
        <v>0</v>
      </c>
      <c r="D761">
        <v>4.920833333</v>
      </c>
      <c r="E761">
        <v>62.416666669999998</v>
      </c>
      <c r="F761">
        <v>5.625</v>
      </c>
    </row>
    <row r="762" spans="1:6" x14ac:dyDescent="0.2">
      <c r="A762" s="3">
        <v>44957</v>
      </c>
      <c r="B762">
        <v>8.1036458329999999</v>
      </c>
      <c r="C762">
        <v>0</v>
      </c>
      <c r="D762">
        <v>6.5374999999999996</v>
      </c>
      <c r="E762">
        <v>65.541666669999998</v>
      </c>
      <c r="F762">
        <v>6.0833333329999997</v>
      </c>
    </row>
    <row r="763" spans="1:6" x14ac:dyDescent="0.2">
      <c r="A763" s="3">
        <v>44958</v>
      </c>
      <c r="B763">
        <v>7.4409375000000004</v>
      </c>
      <c r="C763">
        <v>0</v>
      </c>
      <c r="D763">
        <v>7.9375</v>
      </c>
      <c r="E763">
        <v>70.708333330000002</v>
      </c>
      <c r="F763">
        <v>6.7916666670000003</v>
      </c>
    </row>
    <row r="764" spans="1:6" x14ac:dyDescent="0.2">
      <c r="A764" s="3">
        <v>44959</v>
      </c>
      <c r="B764">
        <v>7.2711458330000003</v>
      </c>
      <c r="C764">
        <v>0</v>
      </c>
      <c r="D764">
        <v>7.2625000000000002</v>
      </c>
      <c r="E764">
        <v>76.791666669999998</v>
      </c>
      <c r="F764">
        <v>5.3333333329999997</v>
      </c>
    </row>
    <row r="765" spans="1:6" x14ac:dyDescent="0.2">
      <c r="A765" s="3">
        <v>44960</v>
      </c>
      <c r="B765">
        <v>7.7344791669999999</v>
      </c>
      <c r="C765">
        <v>0</v>
      </c>
      <c r="D765">
        <v>8.6999999999999993</v>
      </c>
      <c r="E765">
        <v>73.041666669999998</v>
      </c>
      <c r="F765">
        <v>7.625</v>
      </c>
    </row>
    <row r="766" spans="1:6" x14ac:dyDescent="0.2">
      <c r="A766" s="3">
        <v>44961</v>
      </c>
      <c r="B766">
        <v>6.6736458330000001</v>
      </c>
      <c r="C766">
        <v>0</v>
      </c>
      <c r="D766">
        <v>8.3291666670000009</v>
      </c>
      <c r="E766">
        <v>67.125</v>
      </c>
      <c r="F766">
        <v>20.333333329999999</v>
      </c>
    </row>
    <row r="767" spans="1:6" x14ac:dyDescent="0.2">
      <c r="A767" s="3">
        <v>44962</v>
      </c>
      <c r="B767">
        <v>7.3552083330000002</v>
      </c>
      <c r="C767">
        <v>0</v>
      </c>
      <c r="D767">
        <v>5.0875000000000004</v>
      </c>
      <c r="E767">
        <v>44.791666669999998</v>
      </c>
      <c r="F767">
        <v>26.125</v>
      </c>
    </row>
    <row r="768" spans="1:6" x14ac:dyDescent="0.2">
      <c r="A768" s="3">
        <v>44963</v>
      </c>
      <c r="B768">
        <v>7.6070833330000003</v>
      </c>
      <c r="C768">
        <v>0</v>
      </c>
      <c r="D768">
        <v>2.6375000000000002</v>
      </c>
      <c r="E768">
        <v>46.916666669999998</v>
      </c>
      <c r="F768">
        <v>26.916666670000001</v>
      </c>
    </row>
    <row r="769" spans="1:6" x14ac:dyDescent="0.2">
      <c r="A769" s="3">
        <v>44964</v>
      </c>
      <c r="B769">
        <v>8.4248958330000008</v>
      </c>
      <c r="C769">
        <v>0</v>
      </c>
      <c r="D769">
        <v>2.9750000000000001</v>
      </c>
      <c r="E769">
        <v>41.083333330000002</v>
      </c>
      <c r="F769">
        <v>24.166666670000001</v>
      </c>
    </row>
    <row r="770" spans="1:6" x14ac:dyDescent="0.2">
      <c r="A770" s="3">
        <v>44965</v>
      </c>
      <c r="B770">
        <v>8.1112500000000001</v>
      </c>
      <c r="C770">
        <v>0</v>
      </c>
      <c r="D770">
        <v>2.3374999999999999</v>
      </c>
      <c r="E770">
        <v>54.625</v>
      </c>
      <c r="F770">
        <v>44.833333330000002</v>
      </c>
    </row>
    <row r="771" spans="1:6" x14ac:dyDescent="0.2">
      <c r="A771" s="3">
        <v>44966</v>
      </c>
      <c r="B771">
        <v>7.8780208329999999</v>
      </c>
      <c r="C771">
        <v>0</v>
      </c>
      <c r="D771">
        <v>3.0208333330000001</v>
      </c>
      <c r="E771">
        <v>51.416666669999998</v>
      </c>
      <c r="F771">
        <v>37.458333330000002</v>
      </c>
    </row>
    <row r="772" spans="1:6" x14ac:dyDescent="0.2">
      <c r="A772" s="3">
        <v>44967</v>
      </c>
      <c r="B772">
        <v>7.662083333</v>
      </c>
      <c r="C772">
        <v>0</v>
      </c>
      <c r="D772">
        <v>5.3125</v>
      </c>
      <c r="E772">
        <v>39.166666669999998</v>
      </c>
      <c r="F772">
        <v>15.08333333</v>
      </c>
    </row>
    <row r="773" spans="1:6" x14ac:dyDescent="0.2">
      <c r="A773" s="3">
        <v>44968</v>
      </c>
      <c r="B773">
        <v>6.9757291669999999</v>
      </c>
      <c r="C773">
        <v>0</v>
      </c>
      <c r="D773">
        <v>6.4791666670000003</v>
      </c>
      <c r="E773">
        <v>48.125</v>
      </c>
      <c r="F773">
        <v>6.375</v>
      </c>
    </row>
    <row r="774" spans="1:6" x14ac:dyDescent="0.2">
      <c r="A774" s="3">
        <v>44969</v>
      </c>
      <c r="B774">
        <v>7.0189583329999996</v>
      </c>
      <c r="C774">
        <v>0</v>
      </c>
      <c r="D774">
        <v>6.983333333</v>
      </c>
      <c r="E774">
        <v>59.291666669999998</v>
      </c>
      <c r="F774">
        <v>5.5833333329999997</v>
      </c>
    </row>
    <row r="775" spans="1:6" x14ac:dyDescent="0.2">
      <c r="A775" s="3">
        <v>44970</v>
      </c>
      <c r="B775">
        <v>7.3612632500000004</v>
      </c>
      <c r="C775">
        <v>0</v>
      </c>
      <c r="D775">
        <v>9.2750000000000004</v>
      </c>
      <c r="E775">
        <v>62.916666669999998</v>
      </c>
      <c r="F775">
        <v>9.5416666669999994</v>
      </c>
    </row>
    <row r="776" spans="1:6" x14ac:dyDescent="0.2">
      <c r="A776" s="3">
        <v>44971</v>
      </c>
      <c r="B776">
        <v>8.6477083330000006</v>
      </c>
      <c r="C776">
        <v>0</v>
      </c>
      <c r="D776">
        <v>7.2208333329999999</v>
      </c>
      <c r="E776">
        <v>76.625</v>
      </c>
      <c r="F776">
        <v>3.0833333330000001</v>
      </c>
    </row>
    <row r="777" spans="1:6" x14ac:dyDescent="0.2">
      <c r="A777" s="3">
        <v>44972</v>
      </c>
      <c r="B777">
        <v>7.567395833</v>
      </c>
      <c r="C777">
        <v>0</v>
      </c>
      <c r="D777">
        <v>7.7083333329999997</v>
      </c>
      <c r="E777">
        <v>83.666666669999998</v>
      </c>
      <c r="F777">
        <v>3.125</v>
      </c>
    </row>
    <row r="778" spans="1:6" x14ac:dyDescent="0.2">
      <c r="A778" s="3">
        <v>44973</v>
      </c>
      <c r="B778">
        <v>7.5652083330000002</v>
      </c>
      <c r="C778">
        <v>0</v>
      </c>
      <c r="D778">
        <v>8.6333333329999995</v>
      </c>
      <c r="E778">
        <v>80.625</v>
      </c>
      <c r="F778">
        <v>5.6666666670000003</v>
      </c>
    </row>
    <row r="779" spans="1:6" x14ac:dyDescent="0.2">
      <c r="A779" s="3">
        <v>44974</v>
      </c>
      <c r="B779">
        <v>7.6394791670000002</v>
      </c>
      <c r="C779">
        <v>0</v>
      </c>
      <c r="D779">
        <v>8.5250000000000004</v>
      </c>
      <c r="E779">
        <v>88.916666669999998</v>
      </c>
      <c r="F779">
        <v>7.25</v>
      </c>
    </row>
    <row r="780" spans="1:6" x14ac:dyDescent="0.2">
      <c r="A780" s="3">
        <v>44975</v>
      </c>
      <c r="B780">
        <v>7.0364583329999997</v>
      </c>
      <c r="C780">
        <v>0</v>
      </c>
      <c r="D780">
        <v>8.4749999999999996</v>
      </c>
      <c r="E780">
        <v>91.958333330000002</v>
      </c>
      <c r="F780">
        <v>6.3333333329999997</v>
      </c>
    </row>
    <row r="781" spans="1:6" x14ac:dyDescent="0.2">
      <c r="A781" s="3">
        <v>44976</v>
      </c>
      <c r="B781">
        <v>7.0247916669999997</v>
      </c>
      <c r="C781">
        <v>4.1666669999999998E-3</v>
      </c>
      <c r="D781">
        <v>8.7708333330000006</v>
      </c>
      <c r="E781">
        <v>93.375</v>
      </c>
      <c r="F781">
        <v>3.9583333330000001</v>
      </c>
    </row>
    <row r="782" spans="1:6" x14ac:dyDescent="0.2">
      <c r="A782" s="3">
        <v>44977</v>
      </c>
      <c r="B782">
        <v>7.6397916669999999</v>
      </c>
      <c r="C782">
        <v>0</v>
      </c>
      <c r="D782">
        <v>9.4250000000000007</v>
      </c>
      <c r="E782">
        <v>91.833333330000002</v>
      </c>
      <c r="F782">
        <v>4</v>
      </c>
    </row>
    <row r="783" spans="1:6" x14ac:dyDescent="0.2">
      <c r="A783" s="3">
        <v>44978</v>
      </c>
      <c r="B783">
        <v>7.915104167</v>
      </c>
      <c r="C783">
        <v>0</v>
      </c>
      <c r="D783">
        <v>9.0916666670000001</v>
      </c>
      <c r="E783">
        <v>88.208333330000002</v>
      </c>
      <c r="F783">
        <v>3.9583333330000001</v>
      </c>
    </row>
    <row r="784" spans="1:6" x14ac:dyDescent="0.2">
      <c r="A784" s="3">
        <v>44979</v>
      </c>
      <c r="B784">
        <v>7.2571158020000004</v>
      </c>
      <c r="C784">
        <v>0</v>
      </c>
      <c r="D784">
        <v>8.3375000000000004</v>
      </c>
      <c r="E784">
        <v>92.791666669999998</v>
      </c>
      <c r="F784">
        <v>3.2916666669999999</v>
      </c>
    </row>
    <row r="785" spans="1:6" x14ac:dyDescent="0.2">
      <c r="A785" s="3">
        <v>44980</v>
      </c>
      <c r="B785">
        <v>7.3773958329999996</v>
      </c>
      <c r="C785">
        <v>3.3333333E-2</v>
      </c>
      <c r="D785">
        <v>9.4958333330000002</v>
      </c>
      <c r="E785">
        <v>90.833333330000002</v>
      </c>
      <c r="F785">
        <v>3.5</v>
      </c>
    </row>
    <row r="786" spans="1:6" x14ac:dyDescent="0.2">
      <c r="A786" s="3">
        <v>44981</v>
      </c>
      <c r="B786">
        <v>7.0769791670000002</v>
      </c>
      <c r="C786">
        <v>8.3333330000000001E-3</v>
      </c>
      <c r="D786">
        <v>8.375</v>
      </c>
      <c r="E786">
        <v>95</v>
      </c>
      <c r="F786">
        <v>4.7916666670000003</v>
      </c>
    </row>
    <row r="787" spans="1:6" x14ac:dyDescent="0.2">
      <c r="A787" s="3">
        <v>44982</v>
      </c>
      <c r="B787">
        <v>6.8882291670000004</v>
      </c>
      <c r="C787">
        <v>0.28749999999999998</v>
      </c>
      <c r="D787">
        <v>11.3125</v>
      </c>
      <c r="E787">
        <v>88.458333330000002</v>
      </c>
      <c r="F787">
        <v>7.5416666670000003</v>
      </c>
    </row>
    <row r="788" spans="1:6" x14ac:dyDescent="0.2">
      <c r="A788" s="3">
        <v>44983</v>
      </c>
      <c r="B788">
        <v>6.6893750000000001</v>
      </c>
      <c r="C788">
        <v>0.52916666700000003</v>
      </c>
      <c r="D788">
        <v>5.5250000000000004</v>
      </c>
      <c r="E788">
        <v>68.041666669999998</v>
      </c>
      <c r="F788">
        <v>63.333333330000002</v>
      </c>
    </row>
    <row r="789" spans="1:6" x14ac:dyDescent="0.2">
      <c r="A789" s="3">
        <v>44984</v>
      </c>
      <c r="B789">
        <v>6.9517708330000003</v>
      </c>
      <c r="C789">
        <v>5.8333333000000001E-2</v>
      </c>
      <c r="D789">
        <v>4.4583333329999997</v>
      </c>
      <c r="E789">
        <v>61.416666669999998</v>
      </c>
      <c r="F789">
        <v>59.291666669999998</v>
      </c>
    </row>
    <row r="790" spans="1:6" x14ac:dyDescent="0.2">
      <c r="A790" s="3">
        <v>44985</v>
      </c>
      <c r="B790">
        <v>7.9610416669999999</v>
      </c>
      <c r="C790">
        <v>0</v>
      </c>
      <c r="D790">
        <v>5.0666666669999998</v>
      </c>
      <c r="E790">
        <v>65.166666669999998</v>
      </c>
      <c r="F790">
        <v>48.791666669999998</v>
      </c>
    </row>
    <row r="791" spans="1:6" x14ac:dyDescent="0.2">
      <c r="A791" s="3">
        <v>44986</v>
      </c>
      <c r="B791">
        <v>6.8658333330000003</v>
      </c>
      <c r="C791">
        <v>0</v>
      </c>
      <c r="D791">
        <v>6.5833333329999997</v>
      </c>
      <c r="E791">
        <v>64</v>
      </c>
      <c r="F791">
        <v>63.125</v>
      </c>
    </row>
    <row r="792" spans="1:6" x14ac:dyDescent="0.2">
      <c r="A792" s="3">
        <v>44987</v>
      </c>
      <c r="B792">
        <v>7.1111458330000001</v>
      </c>
      <c r="C792">
        <v>0</v>
      </c>
      <c r="D792">
        <v>8.8874999999999993</v>
      </c>
      <c r="E792">
        <v>64.791666669999998</v>
      </c>
      <c r="F792">
        <v>41.375</v>
      </c>
    </row>
    <row r="793" spans="1:6" x14ac:dyDescent="0.2">
      <c r="A793" s="3">
        <v>44988</v>
      </c>
      <c r="B793">
        <v>6.8835416670000003</v>
      </c>
      <c r="C793">
        <v>0</v>
      </c>
      <c r="D793">
        <v>9.9166666669999994</v>
      </c>
      <c r="E793">
        <v>61.375</v>
      </c>
      <c r="F793">
        <v>24.625</v>
      </c>
    </row>
    <row r="794" spans="1:6" x14ac:dyDescent="0.2">
      <c r="A794" s="3">
        <v>44989</v>
      </c>
      <c r="B794">
        <v>6.4159375000000001</v>
      </c>
      <c r="C794">
        <v>0</v>
      </c>
      <c r="D794">
        <v>11.179166670000001</v>
      </c>
      <c r="E794">
        <v>48.666666669999998</v>
      </c>
      <c r="F794">
        <v>12.41666667</v>
      </c>
    </row>
    <row r="795" spans="1:6" x14ac:dyDescent="0.2">
      <c r="A795" s="3">
        <v>44990</v>
      </c>
      <c r="B795">
        <v>6.8373958330000004</v>
      </c>
      <c r="C795">
        <v>0</v>
      </c>
      <c r="D795">
        <v>9.8958333330000006</v>
      </c>
      <c r="E795">
        <v>55.541666669999998</v>
      </c>
      <c r="F795">
        <v>11.70833333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D6C4-DBED-4856-8E69-DDD927C41B27}">
  <dimension ref="A1:M65"/>
  <sheetViews>
    <sheetView workbookViewId="0">
      <selection activeCell="C3" sqref="C3"/>
    </sheetView>
  </sheetViews>
  <sheetFormatPr defaultRowHeight="14.25" x14ac:dyDescent="0.2"/>
  <sheetData>
    <row r="1" spans="1:13" x14ac:dyDescent="0.2">
      <c r="A1">
        <v>43</v>
      </c>
      <c r="B1" s="1">
        <f>A1*0.64</f>
        <v>27.52</v>
      </c>
      <c r="C1" s="1">
        <f>A1</f>
        <v>43</v>
      </c>
      <c r="D1" s="1">
        <f>A1*1.46</f>
        <v>62.78</v>
      </c>
      <c r="E1">
        <f>A1*2.47</f>
        <v>106.21000000000001</v>
      </c>
      <c r="H1">
        <v>1002</v>
      </c>
      <c r="I1">
        <v>1</v>
      </c>
      <c r="J1">
        <v>43</v>
      </c>
      <c r="K1" s="1">
        <f>J1*0.64</f>
        <v>27.52</v>
      </c>
      <c r="L1" s="1">
        <f>J1</f>
        <v>43</v>
      </c>
      <c r="M1" s="1">
        <f>J1*1.46</f>
        <v>62.78</v>
      </c>
    </row>
    <row r="2" spans="1:13" x14ac:dyDescent="0.2">
      <c r="A2">
        <v>61</v>
      </c>
      <c r="B2" s="1">
        <f t="shared" ref="B2:B64" si="0">A2*0.64</f>
        <v>39.04</v>
      </c>
      <c r="C2" s="1">
        <f t="shared" ref="C2:C64" si="1">A2</f>
        <v>61</v>
      </c>
      <c r="D2" s="1">
        <f t="shared" ref="D2:D64" si="2">A2*1.46</f>
        <v>89.06</v>
      </c>
      <c r="E2">
        <f t="shared" ref="E2:E64" si="3">A2*2.47</f>
        <v>150.67000000000002</v>
      </c>
      <c r="H2">
        <v>1002</v>
      </c>
      <c r="I2">
        <v>2</v>
      </c>
      <c r="J2">
        <v>61</v>
      </c>
      <c r="K2" s="1">
        <f t="shared" ref="K2:K64" si="4">J2*0.64</f>
        <v>39.04</v>
      </c>
      <c r="L2" s="1">
        <f t="shared" ref="L2:L64" si="5">J2</f>
        <v>61</v>
      </c>
      <c r="M2" s="1">
        <f t="shared" ref="M2:M64" si="6">J2*1.46</f>
        <v>89.06</v>
      </c>
    </row>
    <row r="3" spans="1:13" x14ac:dyDescent="0.2">
      <c r="A3">
        <v>365</v>
      </c>
      <c r="B3" s="1">
        <f t="shared" si="0"/>
        <v>233.6</v>
      </c>
      <c r="C3" s="1">
        <f t="shared" si="1"/>
        <v>365</v>
      </c>
      <c r="D3" s="1">
        <f t="shared" si="2"/>
        <v>532.9</v>
      </c>
      <c r="E3">
        <f t="shared" si="3"/>
        <v>901.55000000000007</v>
      </c>
      <c r="H3">
        <v>1002</v>
      </c>
      <c r="I3">
        <v>3</v>
      </c>
      <c r="J3">
        <v>365</v>
      </c>
      <c r="K3" s="1">
        <f t="shared" si="4"/>
        <v>233.6</v>
      </c>
      <c r="L3" s="1">
        <f t="shared" si="5"/>
        <v>365</v>
      </c>
      <c r="M3" s="1">
        <f t="shared" si="6"/>
        <v>532.9</v>
      </c>
    </row>
    <row r="4" spans="1:13" x14ac:dyDescent="0.2">
      <c r="A4">
        <v>232</v>
      </c>
      <c r="B4" s="1">
        <f t="shared" si="0"/>
        <v>148.47999999999999</v>
      </c>
      <c r="C4" s="1">
        <f t="shared" si="1"/>
        <v>232</v>
      </c>
      <c r="D4" s="1">
        <f t="shared" si="2"/>
        <v>338.71999999999997</v>
      </c>
      <c r="E4">
        <f t="shared" si="3"/>
        <v>573.04000000000008</v>
      </c>
      <c r="H4">
        <v>1002</v>
      </c>
      <c r="I4">
        <v>4</v>
      </c>
      <c r="J4">
        <v>232</v>
      </c>
      <c r="K4" s="1">
        <f t="shared" si="4"/>
        <v>148.47999999999999</v>
      </c>
      <c r="L4" s="1">
        <f t="shared" si="5"/>
        <v>232</v>
      </c>
      <c r="M4" s="1">
        <f t="shared" si="6"/>
        <v>338.71999999999997</v>
      </c>
    </row>
    <row r="5" spans="1:13" x14ac:dyDescent="0.2">
      <c r="A5">
        <v>279</v>
      </c>
      <c r="B5" s="1">
        <f t="shared" si="0"/>
        <v>178.56</v>
      </c>
      <c r="C5" s="1">
        <f t="shared" si="1"/>
        <v>279</v>
      </c>
      <c r="D5" s="1">
        <f t="shared" si="2"/>
        <v>407.34</v>
      </c>
      <c r="E5">
        <f t="shared" si="3"/>
        <v>689.13000000000011</v>
      </c>
      <c r="H5">
        <v>1002</v>
      </c>
      <c r="I5">
        <v>5</v>
      </c>
      <c r="J5">
        <v>279</v>
      </c>
      <c r="K5" s="1">
        <f t="shared" si="4"/>
        <v>178.56</v>
      </c>
      <c r="L5" s="1">
        <f t="shared" si="5"/>
        <v>279</v>
      </c>
      <c r="M5" s="1">
        <f t="shared" si="6"/>
        <v>407.34</v>
      </c>
    </row>
    <row r="6" spans="1:13" x14ac:dyDescent="0.2">
      <c r="A6">
        <v>640</v>
      </c>
      <c r="B6" s="1">
        <f t="shared" si="0"/>
        <v>409.6</v>
      </c>
      <c r="C6" s="1">
        <f t="shared" si="1"/>
        <v>640</v>
      </c>
      <c r="D6" s="1">
        <f t="shared" si="2"/>
        <v>934.4</v>
      </c>
      <c r="E6">
        <f t="shared" si="3"/>
        <v>1580.8000000000002</v>
      </c>
      <c r="H6">
        <v>1002</v>
      </c>
      <c r="I6">
        <v>6</v>
      </c>
      <c r="J6">
        <v>640</v>
      </c>
      <c r="K6" s="1">
        <f t="shared" si="4"/>
        <v>409.6</v>
      </c>
      <c r="L6" s="1">
        <f t="shared" si="5"/>
        <v>640</v>
      </c>
      <c r="M6" s="1">
        <f t="shared" si="6"/>
        <v>934.4</v>
      </c>
    </row>
    <row r="7" spans="1:13" x14ac:dyDescent="0.2">
      <c r="A7">
        <v>602</v>
      </c>
      <c r="B7" s="1">
        <f t="shared" si="0"/>
        <v>385.28000000000003</v>
      </c>
      <c r="C7" s="1">
        <f t="shared" si="1"/>
        <v>602</v>
      </c>
      <c r="D7" s="1">
        <f t="shared" si="2"/>
        <v>878.92</v>
      </c>
      <c r="E7">
        <f t="shared" si="3"/>
        <v>1486.94</v>
      </c>
      <c r="H7">
        <v>1002</v>
      </c>
      <c r="I7">
        <v>7</v>
      </c>
      <c r="J7">
        <v>602</v>
      </c>
      <c r="K7" s="1">
        <f t="shared" si="4"/>
        <v>385.28000000000003</v>
      </c>
      <c r="L7" s="1">
        <f t="shared" si="5"/>
        <v>602</v>
      </c>
      <c r="M7" s="1">
        <f t="shared" si="6"/>
        <v>878.92</v>
      </c>
    </row>
    <row r="8" spans="1:13" x14ac:dyDescent="0.2">
      <c r="A8">
        <v>408</v>
      </c>
      <c r="B8" s="1">
        <f t="shared" si="0"/>
        <v>261.12</v>
      </c>
      <c r="C8" s="1">
        <f t="shared" si="1"/>
        <v>408</v>
      </c>
      <c r="D8" s="1">
        <f t="shared" si="2"/>
        <v>595.67999999999995</v>
      </c>
      <c r="E8">
        <f t="shared" si="3"/>
        <v>1007.7600000000001</v>
      </c>
      <c r="H8">
        <v>1002</v>
      </c>
      <c r="I8">
        <v>8</v>
      </c>
      <c r="J8">
        <v>408</v>
      </c>
      <c r="K8" s="1">
        <f t="shared" si="4"/>
        <v>261.12</v>
      </c>
      <c r="L8" s="1">
        <f t="shared" si="5"/>
        <v>408</v>
      </c>
      <c r="M8" s="1">
        <f t="shared" si="6"/>
        <v>595.67999999999995</v>
      </c>
    </row>
    <row r="9" spans="1:13" x14ac:dyDescent="0.2">
      <c r="A9">
        <v>519</v>
      </c>
      <c r="B9" s="1">
        <f t="shared" si="0"/>
        <v>332.16</v>
      </c>
      <c r="C9" s="1">
        <f t="shared" si="1"/>
        <v>519</v>
      </c>
      <c r="D9" s="1">
        <f t="shared" si="2"/>
        <v>757.74</v>
      </c>
      <c r="E9">
        <f t="shared" si="3"/>
        <v>1281.93</v>
      </c>
      <c r="H9">
        <v>1002</v>
      </c>
      <c r="I9">
        <v>9</v>
      </c>
      <c r="J9">
        <v>519</v>
      </c>
      <c r="K9" s="1">
        <f t="shared" si="4"/>
        <v>332.16</v>
      </c>
      <c r="L9" s="1">
        <f t="shared" si="5"/>
        <v>519</v>
      </c>
      <c r="M9" s="1">
        <f t="shared" si="6"/>
        <v>757.74</v>
      </c>
    </row>
    <row r="10" spans="1:13" x14ac:dyDescent="0.2">
      <c r="A10">
        <v>927</v>
      </c>
      <c r="B10" s="1">
        <f t="shared" si="0"/>
        <v>593.28</v>
      </c>
      <c r="C10" s="1">
        <f t="shared" si="1"/>
        <v>927</v>
      </c>
      <c r="D10" s="1">
        <f t="shared" si="2"/>
        <v>1353.42</v>
      </c>
      <c r="E10">
        <f t="shared" si="3"/>
        <v>2289.69</v>
      </c>
      <c r="H10">
        <v>1002</v>
      </c>
      <c r="I10">
        <v>10</v>
      </c>
      <c r="J10">
        <v>927</v>
      </c>
      <c r="K10" s="1">
        <f t="shared" si="4"/>
        <v>593.28</v>
      </c>
      <c r="L10" s="1">
        <f t="shared" si="5"/>
        <v>927</v>
      </c>
      <c r="M10" s="1">
        <f t="shared" si="6"/>
        <v>1353.42</v>
      </c>
    </row>
    <row r="11" spans="1:13" x14ac:dyDescent="0.2">
      <c r="A11">
        <v>1065</v>
      </c>
      <c r="B11" s="1">
        <f t="shared" si="0"/>
        <v>681.6</v>
      </c>
      <c r="C11" s="1">
        <f t="shared" si="1"/>
        <v>1065</v>
      </c>
      <c r="D11" s="1">
        <f t="shared" si="2"/>
        <v>1554.8999999999999</v>
      </c>
      <c r="E11">
        <f t="shared" si="3"/>
        <v>2630.55</v>
      </c>
      <c r="H11">
        <v>1002</v>
      </c>
      <c r="I11">
        <v>11</v>
      </c>
      <c r="J11">
        <v>1065</v>
      </c>
      <c r="K11" s="1">
        <f t="shared" si="4"/>
        <v>681.6</v>
      </c>
      <c r="L11" s="1">
        <f t="shared" si="5"/>
        <v>1065</v>
      </c>
      <c r="M11" s="1">
        <f t="shared" si="6"/>
        <v>1554.8999999999999</v>
      </c>
    </row>
    <row r="12" spans="1:13" x14ac:dyDescent="0.2">
      <c r="A12">
        <v>1159</v>
      </c>
      <c r="B12" s="1">
        <f t="shared" si="0"/>
        <v>741.76</v>
      </c>
      <c r="C12" s="1">
        <f t="shared" si="1"/>
        <v>1159</v>
      </c>
      <c r="D12" s="1">
        <f t="shared" si="2"/>
        <v>1692.1399999999999</v>
      </c>
      <c r="E12">
        <f t="shared" si="3"/>
        <v>2862.73</v>
      </c>
      <c r="H12">
        <v>1002</v>
      </c>
      <c r="I12">
        <v>12</v>
      </c>
      <c r="J12">
        <v>1159</v>
      </c>
      <c r="K12" s="1">
        <f t="shared" si="4"/>
        <v>741.76</v>
      </c>
      <c r="L12" s="1">
        <f t="shared" si="5"/>
        <v>1159</v>
      </c>
      <c r="M12" s="1">
        <f t="shared" si="6"/>
        <v>1692.1399999999999</v>
      </c>
    </row>
    <row r="13" spans="1:13" x14ac:dyDescent="0.2">
      <c r="A13">
        <v>1863</v>
      </c>
      <c r="B13" s="1">
        <f t="shared" si="0"/>
        <v>1192.32</v>
      </c>
      <c r="C13" s="1">
        <f t="shared" si="1"/>
        <v>1863</v>
      </c>
      <c r="D13" s="1">
        <f t="shared" si="2"/>
        <v>2719.98</v>
      </c>
      <c r="E13">
        <f t="shared" si="3"/>
        <v>4601.6100000000006</v>
      </c>
      <c r="H13">
        <v>1002</v>
      </c>
      <c r="I13">
        <v>13</v>
      </c>
      <c r="J13">
        <v>1863</v>
      </c>
      <c r="K13" s="1">
        <f t="shared" si="4"/>
        <v>1192.32</v>
      </c>
      <c r="L13" s="1">
        <f t="shared" si="5"/>
        <v>1863</v>
      </c>
      <c r="M13" s="1">
        <f t="shared" si="6"/>
        <v>2719.98</v>
      </c>
    </row>
    <row r="14" spans="1:13" x14ac:dyDescent="0.2">
      <c r="A14">
        <v>2621</v>
      </c>
      <c r="B14" s="1">
        <f t="shared" si="0"/>
        <v>1677.44</v>
      </c>
      <c r="C14" s="1">
        <f t="shared" si="1"/>
        <v>2621</v>
      </c>
      <c r="D14" s="1">
        <f t="shared" si="2"/>
        <v>3826.66</v>
      </c>
      <c r="E14">
        <f t="shared" si="3"/>
        <v>6473.8700000000008</v>
      </c>
      <c r="H14">
        <v>1002</v>
      </c>
      <c r="I14">
        <v>14</v>
      </c>
      <c r="J14">
        <v>2621</v>
      </c>
      <c r="K14" s="1">
        <f t="shared" si="4"/>
        <v>1677.44</v>
      </c>
      <c r="L14" s="1">
        <f t="shared" si="5"/>
        <v>2621</v>
      </c>
      <c r="M14" s="1">
        <f t="shared" si="6"/>
        <v>3826.66</v>
      </c>
    </row>
    <row r="15" spans="1:13" x14ac:dyDescent="0.2">
      <c r="A15">
        <v>2321</v>
      </c>
      <c r="B15" s="1">
        <f t="shared" si="0"/>
        <v>1485.44</v>
      </c>
      <c r="C15" s="1">
        <f t="shared" si="1"/>
        <v>2321</v>
      </c>
      <c r="D15" s="1">
        <f t="shared" si="2"/>
        <v>3388.66</v>
      </c>
      <c r="E15">
        <f t="shared" si="3"/>
        <v>5732.8700000000008</v>
      </c>
      <c r="H15">
        <v>1002</v>
      </c>
      <c r="I15">
        <v>15</v>
      </c>
      <c r="J15">
        <v>2321</v>
      </c>
      <c r="K15" s="1">
        <f t="shared" si="4"/>
        <v>1485.44</v>
      </c>
      <c r="L15" s="1">
        <f t="shared" si="5"/>
        <v>2321</v>
      </c>
      <c r="M15" s="1">
        <f t="shared" si="6"/>
        <v>3388.66</v>
      </c>
    </row>
    <row r="16" spans="1:13" x14ac:dyDescent="0.2">
      <c r="A16">
        <v>1566</v>
      </c>
      <c r="B16" s="1">
        <f t="shared" si="0"/>
        <v>1002.24</v>
      </c>
      <c r="C16" s="1">
        <f t="shared" si="1"/>
        <v>1566</v>
      </c>
      <c r="D16" s="1">
        <f t="shared" si="2"/>
        <v>2286.36</v>
      </c>
      <c r="E16">
        <f t="shared" si="3"/>
        <v>3868.0200000000004</v>
      </c>
      <c r="H16">
        <v>1002</v>
      </c>
      <c r="I16">
        <v>16</v>
      </c>
      <c r="J16">
        <v>1566</v>
      </c>
      <c r="K16" s="1">
        <f t="shared" si="4"/>
        <v>1002.24</v>
      </c>
      <c r="L16" s="1">
        <f t="shared" si="5"/>
        <v>1566</v>
      </c>
      <c r="M16" s="1">
        <f t="shared" si="6"/>
        <v>2286.36</v>
      </c>
    </row>
    <row r="17" spans="1:13" x14ac:dyDescent="0.2">
      <c r="A17">
        <v>1713</v>
      </c>
      <c r="B17" s="1">
        <f t="shared" si="0"/>
        <v>1096.32</v>
      </c>
      <c r="C17" s="1">
        <f t="shared" si="1"/>
        <v>1713</v>
      </c>
      <c r="D17" s="1">
        <f t="shared" si="2"/>
        <v>2500.98</v>
      </c>
      <c r="E17">
        <f t="shared" si="3"/>
        <v>4231.1100000000006</v>
      </c>
      <c r="H17">
        <v>1002</v>
      </c>
      <c r="I17">
        <v>17</v>
      </c>
      <c r="J17">
        <v>1713</v>
      </c>
      <c r="K17" s="1">
        <f t="shared" si="4"/>
        <v>1096.32</v>
      </c>
      <c r="L17" s="1">
        <f t="shared" si="5"/>
        <v>1713</v>
      </c>
      <c r="M17" s="1">
        <f t="shared" si="6"/>
        <v>2500.98</v>
      </c>
    </row>
    <row r="18" spans="1:13" x14ac:dyDescent="0.2">
      <c r="A18">
        <v>1391</v>
      </c>
      <c r="B18" s="1">
        <f t="shared" si="0"/>
        <v>890.24</v>
      </c>
      <c r="C18" s="1">
        <f t="shared" si="1"/>
        <v>1391</v>
      </c>
      <c r="D18" s="1">
        <f t="shared" si="2"/>
        <v>2030.86</v>
      </c>
      <c r="E18">
        <f t="shared" si="3"/>
        <v>3435.7700000000004</v>
      </c>
      <c r="H18">
        <v>1002</v>
      </c>
      <c r="I18">
        <v>18</v>
      </c>
      <c r="J18">
        <v>1391</v>
      </c>
      <c r="K18" s="1">
        <f t="shared" si="4"/>
        <v>890.24</v>
      </c>
      <c r="L18" s="1">
        <f t="shared" si="5"/>
        <v>1391</v>
      </c>
      <c r="M18" s="1">
        <f t="shared" si="6"/>
        <v>2030.86</v>
      </c>
    </row>
    <row r="19" spans="1:13" x14ac:dyDescent="0.2">
      <c r="A19">
        <v>2686</v>
      </c>
      <c r="B19" s="1">
        <f t="shared" si="0"/>
        <v>1719.04</v>
      </c>
      <c r="C19" s="1">
        <f t="shared" si="1"/>
        <v>2686</v>
      </c>
      <c r="D19" s="1">
        <f t="shared" si="2"/>
        <v>3921.56</v>
      </c>
      <c r="E19">
        <f t="shared" si="3"/>
        <v>6634.42</v>
      </c>
      <c r="H19">
        <v>1002</v>
      </c>
      <c r="I19">
        <v>19</v>
      </c>
      <c r="J19">
        <v>2686</v>
      </c>
      <c r="K19" s="1">
        <f t="shared" si="4"/>
        <v>1719.04</v>
      </c>
      <c r="L19" s="1">
        <f t="shared" si="5"/>
        <v>2686</v>
      </c>
      <c r="M19" s="1">
        <f t="shared" si="6"/>
        <v>3921.56</v>
      </c>
    </row>
    <row r="20" spans="1:13" x14ac:dyDescent="0.2">
      <c r="A20">
        <v>4771</v>
      </c>
      <c r="B20" s="1">
        <f t="shared" si="0"/>
        <v>3053.44</v>
      </c>
      <c r="C20" s="1">
        <f t="shared" si="1"/>
        <v>4771</v>
      </c>
      <c r="D20" s="1">
        <f t="shared" si="2"/>
        <v>6965.66</v>
      </c>
      <c r="E20">
        <f t="shared" si="3"/>
        <v>11784.37</v>
      </c>
      <c r="H20">
        <v>1002</v>
      </c>
      <c r="I20">
        <v>20</v>
      </c>
      <c r="J20">
        <v>4771</v>
      </c>
      <c r="K20" s="1">
        <f t="shared" si="4"/>
        <v>3053.44</v>
      </c>
      <c r="L20" s="1">
        <f t="shared" si="5"/>
        <v>4771</v>
      </c>
      <c r="M20" s="1">
        <f t="shared" si="6"/>
        <v>6965.66</v>
      </c>
    </row>
    <row r="21" spans="1:13" x14ac:dyDescent="0.2">
      <c r="A21">
        <v>6104</v>
      </c>
      <c r="B21" s="1">
        <f t="shared" si="0"/>
        <v>3906.56</v>
      </c>
      <c r="C21" s="1">
        <f t="shared" si="1"/>
        <v>6104</v>
      </c>
      <c r="D21" s="1">
        <f t="shared" si="2"/>
        <v>8911.84</v>
      </c>
      <c r="E21">
        <f t="shared" si="3"/>
        <v>15076.880000000001</v>
      </c>
      <c r="H21">
        <v>1002</v>
      </c>
      <c r="I21">
        <v>21</v>
      </c>
      <c r="J21">
        <v>6104</v>
      </c>
      <c r="K21" s="1">
        <f t="shared" si="4"/>
        <v>3906.56</v>
      </c>
      <c r="L21" s="1">
        <f t="shared" si="5"/>
        <v>6104</v>
      </c>
      <c r="M21" s="1">
        <f t="shared" si="6"/>
        <v>8911.84</v>
      </c>
    </row>
    <row r="22" spans="1:13" x14ac:dyDescent="0.2">
      <c r="A22">
        <v>7513</v>
      </c>
      <c r="B22" s="1">
        <f t="shared" si="0"/>
        <v>4808.32</v>
      </c>
      <c r="C22" s="1">
        <f t="shared" si="1"/>
        <v>7513</v>
      </c>
      <c r="D22" s="1">
        <f t="shared" si="2"/>
        <v>10968.98</v>
      </c>
      <c r="E22">
        <f t="shared" si="3"/>
        <v>18557.11</v>
      </c>
      <c r="H22">
        <v>1002</v>
      </c>
      <c r="I22">
        <v>22</v>
      </c>
      <c r="J22">
        <v>7513</v>
      </c>
      <c r="K22" s="1">
        <f t="shared" si="4"/>
        <v>4808.32</v>
      </c>
      <c r="L22" s="1">
        <f t="shared" si="5"/>
        <v>7513</v>
      </c>
      <c r="M22" s="1">
        <f t="shared" si="6"/>
        <v>10968.98</v>
      </c>
    </row>
    <row r="23" spans="1:13" x14ac:dyDescent="0.2">
      <c r="A23">
        <v>9600</v>
      </c>
      <c r="B23" s="1">
        <f t="shared" si="0"/>
        <v>6144</v>
      </c>
      <c r="C23" s="1">
        <f t="shared" si="1"/>
        <v>9600</v>
      </c>
      <c r="D23" s="1">
        <f t="shared" si="2"/>
        <v>14016</v>
      </c>
      <c r="E23">
        <f t="shared" si="3"/>
        <v>23712.000000000004</v>
      </c>
      <c r="H23">
        <v>1002</v>
      </c>
      <c r="I23">
        <v>23</v>
      </c>
      <c r="J23">
        <v>9600</v>
      </c>
      <c r="K23" s="1">
        <f t="shared" si="4"/>
        <v>6144</v>
      </c>
      <c r="L23" s="1">
        <f t="shared" si="5"/>
        <v>9600</v>
      </c>
      <c r="M23" s="1">
        <f t="shared" si="6"/>
        <v>14016</v>
      </c>
    </row>
    <row r="24" spans="1:13" x14ac:dyDescent="0.2">
      <c r="A24">
        <v>6794</v>
      </c>
      <c r="B24" s="1">
        <f t="shared" si="0"/>
        <v>4348.16</v>
      </c>
      <c r="C24" s="1">
        <f t="shared" si="1"/>
        <v>6794</v>
      </c>
      <c r="D24" s="1">
        <f t="shared" si="2"/>
        <v>9919.24</v>
      </c>
      <c r="E24">
        <f t="shared" si="3"/>
        <v>16781.18</v>
      </c>
      <c r="H24">
        <v>1002</v>
      </c>
      <c r="I24">
        <v>24</v>
      </c>
      <c r="J24">
        <v>6794</v>
      </c>
      <c r="K24" s="1">
        <f t="shared" si="4"/>
        <v>4348.16</v>
      </c>
      <c r="L24" s="1">
        <f t="shared" si="5"/>
        <v>6794</v>
      </c>
      <c r="M24" s="1">
        <f t="shared" si="6"/>
        <v>9919.24</v>
      </c>
    </row>
    <row r="25" spans="1:13" x14ac:dyDescent="0.2">
      <c r="A25">
        <v>6714</v>
      </c>
      <c r="B25" s="1">
        <f t="shared" si="0"/>
        <v>4296.96</v>
      </c>
      <c r="C25" s="1">
        <f t="shared" si="1"/>
        <v>6714</v>
      </c>
      <c r="D25" s="1">
        <f t="shared" si="2"/>
        <v>9802.44</v>
      </c>
      <c r="E25">
        <f t="shared" si="3"/>
        <v>16583.580000000002</v>
      </c>
      <c r="H25">
        <v>1002</v>
      </c>
      <c r="I25">
        <v>25</v>
      </c>
      <c r="J25">
        <v>6714</v>
      </c>
      <c r="K25" s="1">
        <f t="shared" si="4"/>
        <v>4296.96</v>
      </c>
      <c r="L25" s="1">
        <f t="shared" si="5"/>
        <v>6714</v>
      </c>
      <c r="M25" s="1">
        <f t="shared" si="6"/>
        <v>9802.44</v>
      </c>
    </row>
    <row r="26" spans="1:13" x14ac:dyDescent="0.2">
      <c r="A26">
        <v>4527</v>
      </c>
      <c r="B26" s="1">
        <f t="shared" si="0"/>
        <v>2897.28</v>
      </c>
      <c r="C26" s="1">
        <f t="shared" si="1"/>
        <v>4527</v>
      </c>
      <c r="D26" s="1">
        <f t="shared" si="2"/>
        <v>6609.42</v>
      </c>
      <c r="E26">
        <f t="shared" si="3"/>
        <v>11181.69</v>
      </c>
      <c r="H26">
        <v>1002</v>
      </c>
      <c r="I26">
        <v>26</v>
      </c>
      <c r="J26">
        <v>4527</v>
      </c>
      <c r="K26" s="1">
        <f t="shared" si="4"/>
        <v>2897.28</v>
      </c>
      <c r="L26" s="1">
        <f t="shared" si="5"/>
        <v>4527</v>
      </c>
      <c r="M26" s="1">
        <f t="shared" si="6"/>
        <v>6609.42</v>
      </c>
    </row>
    <row r="27" spans="1:13" x14ac:dyDescent="0.2">
      <c r="A27">
        <v>3885</v>
      </c>
      <c r="B27" s="1">
        <f t="shared" si="0"/>
        <v>2486.4</v>
      </c>
      <c r="C27" s="1">
        <f t="shared" si="1"/>
        <v>3885</v>
      </c>
      <c r="D27" s="1">
        <f t="shared" si="2"/>
        <v>5672.0999999999995</v>
      </c>
      <c r="E27">
        <f t="shared" si="3"/>
        <v>9595.9500000000007</v>
      </c>
      <c r="H27">
        <v>1002</v>
      </c>
      <c r="I27">
        <v>27</v>
      </c>
      <c r="J27">
        <v>3885</v>
      </c>
      <c r="K27" s="1">
        <f t="shared" si="4"/>
        <v>2486.4</v>
      </c>
      <c r="L27" s="1">
        <f t="shared" si="5"/>
        <v>3885</v>
      </c>
      <c r="M27" s="1">
        <f t="shared" si="6"/>
        <v>5672.0999999999995</v>
      </c>
    </row>
    <row r="28" spans="1:13" x14ac:dyDescent="0.2">
      <c r="A28">
        <v>3494</v>
      </c>
      <c r="B28" s="1">
        <f t="shared" si="0"/>
        <v>2236.16</v>
      </c>
      <c r="C28" s="1">
        <f t="shared" si="1"/>
        <v>3494</v>
      </c>
      <c r="D28" s="1">
        <f t="shared" si="2"/>
        <v>5101.24</v>
      </c>
      <c r="E28">
        <f t="shared" si="3"/>
        <v>8630.18</v>
      </c>
      <c r="H28">
        <v>1002</v>
      </c>
      <c r="I28">
        <v>28</v>
      </c>
      <c r="J28">
        <v>3494</v>
      </c>
      <c r="K28" s="1">
        <f t="shared" si="4"/>
        <v>2236.16</v>
      </c>
      <c r="L28" s="1">
        <f t="shared" si="5"/>
        <v>3494</v>
      </c>
      <c r="M28" s="1">
        <f t="shared" si="6"/>
        <v>5101.24</v>
      </c>
    </row>
    <row r="29" spans="1:13" x14ac:dyDescent="0.2">
      <c r="A29">
        <v>2789</v>
      </c>
      <c r="B29" s="1">
        <f t="shared" si="0"/>
        <v>1784.96</v>
      </c>
      <c r="C29" s="1">
        <f t="shared" si="1"/>
        <v>2789</v>
      </c>
      <c r="D29" s="1">
        <f t="shared" si="2"/>
        <v>4071.94</v>
      </c>
      <c r="E29">
        <f t="shared" si="3"/>
        <v>6888.8300000000008</v>
      </c>
      <c r="H29">
        <v>1002</v>
      </c>
      <c r="I29">
        <v>29</v>
      </c>
      <c r="J29">
        <v>2789</v>
      </c>
      <c r="K29" s="1">
        <f t="shared" si="4"/>
        <v>1784.96</v>
      </c>
      <c r="L29" s="1">
        <f t="shared" si="5"/>
        <v>2789</v>
      </c>
      <c r="M29" s="1">
        <f t="shared" si="6"/>
        <v>4071.94</v>
      </c>
    </row>
    <row r="30" spans="1:13" x14ac:dyDescent="0.2">
      <c r="A30">
        <v>2293</v>
      </c>
      <c r="B30" s="1">
        <f t="shared" si="0"/>
        <v>1467.52</v>
      </c>
      <c r="C30" s="1">
        <f t="shared" si="1"/>
        <v>2293</v>
      </c>
      <c r="D30" s="1">
        <f t="shared" si="2"/>
        <v>3347.7799999999997</v>
      </c>
      <c r="E30">
        <f t="shared" si="3"/>
        <v>5663.71</v>
      </c>
      <c r="H30">
        <v>1002</v>
      </c>
      <c r="I30">
        <v>30</v>
      </c>
      <c r="J30">
        <v>2293</v>
      </c>
      <c r="K30" s="1">
        <f t="shared" si="4"/>
        <v>1467.52</v>
      </c>
      <c r="L30" s="1">
        <f t="shared" si="5"/>
        <v>2293</v>
      </c>
      <c r="M30" s="1">
        <f t="shared" si="6"/>
        <v>3347.7799999999997</v>
      </c>
    </row>
    <row r="31" spans="1:13" x14ac:dyDescent="0.2">
      <c r="A31">
        <v>2051</v>
      </c>
      <c r="B31" s="1">
        <f t="shared" si="0"/>
        <v>1312.64</v>
      </c>
      <c r="C31" s="1">
        <f t="shared" si="1"/>
        <v>2051</v>
      </c>
      <c r="D31" s="1">
        <f t="shared" si="2"/>
        <v>2994.46</v>
      </c>
      <c r="E31">
        <f t="shared" si="3"/>
        <v>5065.97</v>
      </c>
      <c r="H31">
        <v>1002</v>
      </c>
      <c r="I31">
        <v>31</v>
      </c>
      <c r="J31">
        <v>2051</v>
      </c>
      <c r="K31" s="1">
        <f t="shared" si="4"/>
        <v>1312.64</v>
      </c>
      <c r="L31" s="1">
        <f t="shared" si="5"/>
        <v>2051</v>
      </c>
      <c r="M31" s="1">
        <f t="shared" si="6"/>
        <v>2994.46</v>
      </c>
    </row>
    <row r="32" spans="1:13" x14ac:dyDescent="0.2">
      <c r="A32">
        <v>1503</v>
      </c>
      <c r="B32" s="1">
        <f t="shared" si="0"/>
        <v>961.92000000000007</v>
      </c>
      <c r="C32" s="1">
        <f t="shared" si="1"/>
        <v>1503</v>
      </c>
      <c r="D32" s="1">
        <f t="shared" si="2"/>
        <v>2194.38</v>
      </c>
      <c r="E32">
        <f t="shared" si="3"/>
        <v>3712.4100000000003</v>
      </c>
      <c r="H32">
        <v>1002</v>
      </c>
      <c r="I32">
        <v>32</v>
      </c>
      <c r="J32">
        <v>1503</v>
      </c>
      <c r="K32" s="1">
        <f t="shared" si="4"/>
        <v>961.92000000000007</v>
      </c>
      <c r="L32" s="1">
        <f t="shared" si="5"/>
        <v>1503</v>
      </c>
      <c r="M32" s="1">
        <f t="shared" si="6"/>
        <v>2194.38</v>
      </c>
    </row>
    <row r="33" spans="1:13" x14ac:dyDescent="0.2">
      <c r="A33">
        <v>1480</v>
      </c>
      <c r="B33" s="1">
        <f t="shared" si="0"/>
        <v>947.2</v>
      </c>
      <c r="C33" s="1">
        <f t="shared" si="1"/>
        <v>1480</v>
      </c>
      <c r="D33" s="1">
        <f t="shared" si="2"/>
        <v>2160.7999999999997</v>
      </c>
      <c r="E33">
        <f t="shared" si="3"/>
        <v>3655.6000000000004</v>
      </c>
      <c r="H33">
        <v>1002</v>
      </c>
      <c r="I33">
        <v>33</v>
      </c>
      <c r="J33">
        <v>1480</v>
      </c>
      <c r="K33" s="1">
        <f t="shared" si="4"/>
        <v>947.2</v>
      </c>
      <c r="L33" s="1">
        <f t="shared" si="5"/>
        <v>1480</v>
      </c>
      <c r="M33" s="1">
        <f t="shared" si="6"/>
        <v>2160.7999999999997</v>
      </c>
    </row>
    <row r="34" spans="1:13" x14ac:dyDescent="0.2">
      <c r="A34">
        <v>1400</v>
      </c>
      <c r="B34" s="1">
        <f t="shared" si="0"/>
        <v>896</v>
      </c>
      <c r="C34" s="1">
        <f t="shared" si="1"/>
        <v>1400</v>
      </c>
      <c r="D34" s="1">
        <f t="shared" si="2"/>
        <v>2044</v>
      </c>
      <c r="E34">
        <f t="shared" si="3"/>
        <v>3458.0000000000005</v>
      </c>
      <c r="H34">
        <v>1002</v>
      </c>
      <c r="I34">
        <v>34</v>
      </c>
      <c r="J34">
        <v>1400</v>
      </c>
      <c r="K34" s="1">
        <f t="shared" si="4"/>
        <v>896</v>
      </c>
      <c r="L34" s="1">
        <f t="shared" si="5"/>
        <v>1400</v>
      </c>
      <c r="M34" s="1">
        <f t="shared" si="6"/>
        <v>2044</v>
      </c>
    </row>
    <row r="35" spans="1:13" x14ac:dyDescent="0.2">
      <c r="A35">
        <v>1229</v>
      </c>
      <c r="B35" s="1">
        <f t="shared" si="0"/>
        <v>786.56000000000006</v>
      </c>
      <c r="C35" s="1">
        <f t="shared" si="1"/>
        <v>1229</v>
      </c>
      <c r="D35" s="1">
        <f t="shared" si="2"/>
        <v>1794.34</v>
      </c>
      <c r="E35">
        <f t="shared" si="3"/>
        <v>3035.63</v>
      </c>
      <c r="H35">
        <v>1002</v>
      </c>
      <c r="I35">
        <v>35</v>
      </c>
      <c r="J35">
        <v>1229</v>
      </c>
      <c r="K35" s="1">
        <f t="shared" si="4"/>
        <v>786.56000000000006</v>
      </c>
      <c r="L35" s="1">
        <f t="shared" si="5"/>
        <v>1229</v>
      </c>
      <c r="M35" s="1">
        <f t="shared" si="6"/>
        <v>1794.34</v>
      </c>
    </row>
    <row r="36" spans="1:13" x14ac:dyDescent="0.2">
      <c r="A36">
        <v>1080</v>
      </c>
      <c r="B36" s="1">
        <f t="shared" si="0"/>
        <v>691.2</v>
      </c>
      <c r="C36" s="1">
        <f t="shared" si="1"/>
        <v>1080</v>
      </c>
      <c r="D36" s="1">
        <f t="shared" si="2"/>
        <v>1576.8</v>
      </c>
      <c r="E36">
        <f t="shared" si="3"/>
        <v>2667.6000000000004</v>
      </c>
      <c r="H36">
        <v>1002</v>
      </c>
      <c r="I36">
        <v>36</v>
      </c>
      <c r="J36">
        <v>1080</v>
      </c>
      <c r="K36" s="1">
        <f t="shared" si="4"/>
        <v>691.2</v>
      </c>
      <c r="L36" s="1">
        <f t="shared" si="5"/>
        <v>1080</v>
      </c>
      <c r="M36" s="1">
        <f t="shared" si="6"/>
        <v>1576.8</v>
      </c>
    </row>
    <row r="37" spans="1:13" x14ac:dyDescent="0.2">
      <c r="A37">
        <v>800</v>
      </c>
      <c r="B37" s="1">
        <f t="shared" si="0"/>
        <v>512</v>
      </c>
      <c r="C37" s="1">
        <f t="shared" si="1"/>
        <v>800</v>
      </c>
      <c r="D37" s="1">
        <f t="shared" si="2"/>
        <v>1168</v>
      </c>
      <c r="E37">
        <f t="shared" si="3"/>
        <v>1976.0000000000002</v>
      </c>
      <c r="H37">
        <v>1002</v>
      </c>
      <c r="I37">
        <v>37</v>
      </c>
      <c r="J37">
        <v>800</v>
      </c>
      <c r="K37" s="1">
        <f t="shared" si="4"/>
        <v>512</v>
      </c>
      <c r="L37" s="1">
        <f t="shared" si="5"/>
        <v>800</v>
      </c>
      <c r="M37" s="1">
        <f t="shared" si="6"/>
        <v>1168</v>
      </c>
    </row>
    <row r="38" spans="1:13" x14ac:dyDescent="0.2">
      <c r="A38">
        <v>722</v>
      </c>
      <c r="B38" s="1">
        <f t="shared" si="0"/>
        <v>462.08</v>
      </c>
      <c r="C38" s="1">
        <f t="shared" si="1"/>
        <v>722</v>
      </c>
      <c r="D38" s="1">
        <f t="shared" si="2"/>
        <v>1054.1199999999999</v>
      </c>
      <c r="E38">
        <f t="shared" si="3"/>
        <v>1783.3400000000001</v>
      </c>
      <c r="H38">
        <v>1002</v>
      </c>
      <c r="I38">
        <v>38</v>
      </c>
      <c r="J38">
        <v>722</v>
      </c>
      <c r="K38" s="1">
        <f t="shared" si="4"/>
        <v>462.08</v>
      </c>
      <c r="L38" s="1">
        <f t="shared" si="5"/>
        <v>722</v>
      </c>
      <c r="M38" s="1">
        <f t="shared" si="6"/>
        <v>1054.1199999999999</v>
      </c>
    </row>
    <row r="39" spans="1:13" x14ac:dyDescent="0.2">
      <c r="A39">
        <v>752</v>
      </c>
      <c r="B39" s="1">
        <f t="shared" si="0"/>
        <v>481.28000000000003</v>
      </c>
      <c r="C39" s="1">
        <f t="shared" si="1"/>
        <v>752</v>
      </c>
      <c r="D39" s="1">
        <f t="shared" si="2"/>
        <v>1097.92</v>
      </c>
      <c r="E39">
        <f t="shared" si="3"/>
        <v>1857.44</v>
      </c>
      <c r="H39">
        <v>1002</v>
      </c>
      <c r="I39">
        <v>39</v>
      </c>
      <c r="J39">
        <v>752</v>
      </c>
      <c r="K39" s="1">
        <f t="shared" si="4"/>
        <v>481.28000000000003</v>
      </c>
      <c r="L39" s="1">
        <f t="shared" si="5"/>
        <v>752</v>
      </c>
      <c r="M39" s="1">
        <f t="shared" si="6"/>
        <v>1097.92</v>
      </c>
    </row>
    <row r="40" spans="1:13" x14ac:dyDescent="0.2">
      <c r="A40">
        <v>960</v>
      </c>
      <c r="B40" s="1">
        <f t="shared" si="0"/>
        <v>614.4</v>
      </c>
      <c r="C40" s="1">
        <f t="shared" si="1"/>
        <v>960</v>
      </c>
      <c r="D40" s="1">
        <f t="shared" si="2"/>
        <v>1401.6</v>
      </c>
      <c r="E40">
        <f t="shared" si="3"/>
        <v>2371.2000000000003</v>
      </c>
      <c r="H40">
        <v>1002</v>
      </c>
      <c r="I40">
        <v>40</v>
      </c>
      <c r="J40">
        <v>960</v>
      </c>
      <c r="K40" s="1">
        <f t="shared" si="4"/>
        <v>614.4</v>
      </c>
      <c r="L40" s="1">
        <f t="shared" si="5"/>
        <v>960</v>
      </c>
      <c r="M40" s="1">
        <f t="shared" si="6"/>
        <v>1401.6</v>
      </c>
    </row>
    <row r="41" spans="1:13" x14ac:dyDescent="0.2">
      <c r="A41">
        <v>910</v>
      </c>
      <c r="B41" s="1">
        <f t="shared" si="0"/>
        <v>582.4</v>
      </c>
      <c r="C41" s="1">
        <f t="shared" si="1"/>
        <v>910</v>
      </c>
      <c r="D41" s="1">
        <f t="shared" si="2"/>
        <v>1328.6</v>
      </c>
      <c r="E41">
        <f t="shared" si="3"/>
        <v>2247.7000000000003</v>
      </c>
      <c r="H41">
        <v>1002</v>
      </c>
      <c r="I41">
        <v>41</v>
      </c>
      <c r="J41">
        <v>910</v>
      </c>
      <c r="K41" s="1">
        <f t="shared" si="4"/>
        <v>582.4</v>
      </c>
      <c r="L41" s="1">
        <f t="shared" si="5"/>
        <v>910</v>
      </c>
      <c r="M41" s="1">
        <f t="shared" si="6"/>
        <v>1328.6</v>
      </c>
    </row>
    <row r="42" spans="1:13" x14ac:dyDescent="0.2">
      <c r="A42">
        <v>725</v>
      </c>
      <c r="B42" s="1">
        <f t="shared" si="0"/>
        <v>464</v>
      </c>
      <c r="C42" s="1">
        <f t="shared" si="1"/>
        <v>725</v>
      </c>
      <c r="D42" s="1">
        <f t="shared" si="2"/>
        <v>1058.5</v>
      </c>
      <c r="E42">
        <f t="shared" si="3"/>
        <v>1790.7500000000002</v>
      </c>
      <c r="H42">
        <v>1002</v>
      </c>
      <c r="I42">
        <v>42</v>
      </c>
      <c r="J42">
        <v>725</v>
      </c>
      <c r="K42" s="1">
        <f t="shared" si="4"/>
        <v>464</v>
      </c>
      <c r="L42" s="1">
        <f t="shared" si="5"/>
        <v>725</v>
      </c>
      <c r="M42" s="1">
        <f t="shared" si="6"/>
        <v>1058.5</v>
      </c>
    </row>
    <row r="43" spans="1:13" x14ac:dyDescent="0.2">
      <c r="A43">
        <v>576</v>
      </c>
      <c r="B43" s="1">
        <f t="shared" si="0"/>
        <v>368.64</v>
      </c>
      <c r="C43" s="1">
        <f t="shared" si="1"/>
        <v>576</v>
      </c>
      <c r="D43" s="1">
        <f t="shared" si="2"/>
        <v>840.96</v>
      </c>
      <c r="E43">
        <f t="shared" si="3"/>
        <v>1422.72</v>
      </c>
      <c r="H43">
        <v>1002</v>
      </c>
      <c r="I43">
        <v>43</v>
      </c>
      <c r="J43">
        <v>576</v>
      </c>
      <c r="K43" s="1">
        <f t="shared" si="4"/>
        <v>368.64</v>
      </c>
      <c r="L43" s="1">
        <f t="shared" si="5"/>
        <v>576</v>
      </c>
      <c r="M43" s="1">
        <f t="shared" si="6"/>
        <v>840.96</v>
      </c>
    </row>
    <row r="44" spans="1:13" x14ac:dyDescent="0.2">
      <c r="A44">
        <v>520</v>
      </c>
      <c r="B44" s="1">
        <f t="shared" si="0"/>
        <v>332.8</v>
      </c>
      <c r="C44" s="1">
        <f t="shared" si="1"/>
        <v>520</v>
      </c>
      <c r="D44" s="1">
        <f t="shared" si="2"/>
        <v>759.19999999999993</v>
      </c>
      <c r="E44">
        <f t="shared" si="3"/>
        <v>1284.4000000000001</v>
      </c>
      <c r="H44">
        <v>1002</v>
      </c>
      <c r="I44">
        <v>44</v>
      </c>
      <c r="J44">
        <v>520</v>
      </c>
      <c r="K44" s="1">
        <f t="shared" si="4"/>
        <v>332.8</v>
      </c>
      <c r="L44" s="1">
        <f t="shared" si="5"/>
        <v>520</v>
      </c>
      <c r="M44" s="1">
        <f t="shared" si="6"/>
        <v>759.19999999999993</v>
      </c>
    </row>
    <row r="45" spans="1:13" x14ac:dyDescent="0.2">
      <c r="A45">
        <v>580</v>
      </c>
      <c r="B45" s="1">
        <f t="shared" si="0"/>
        <v>371.2</v>
      </c>
      <c r="C45" s="1">
        <f t="shared" si="1"/>
        <v>580</v>
      </c>
      <c r="D45" s="1">
        <f t="shared" si="2"/>
        <v>846.8</v>
      </c>
      <c r="E45">
        <f t="shared" si="3"/>
        <v>1432.6000000000001</v>
      </c>
      <c r="H45">
        <v>1002</v>
      </c>
      <c r="I45">
        <v>45</v>
      </c>
      <c r="J45">
        <v>580</v>
      </c>
      <c r="K45" s="1">
        <f t="shared" si="4"/>
        <v>371.2</v>
      </c>
      <c r="L45" s="1">
        <f t="shared" si="5"/>
        <v>580</v>
      </c>
      <c r="M45" s="1">
        <f t="shared" si="6"/>
        <v>846.8</v>
      </c>
    </row>
    <row r="46" spans="1:13" x14ac:dyDescent="0.2">
      <c r="A46">
        <v>600</v>
      </c>
      <c r="B46" s="1">
        <f t="shared" si="0"/>
        <v>384</v>
      </c>
      <c r="C46" s="1">
        <f t="shared" si="1"/>
        <v>600</v>
      </c>
      <c r="D46" s="1">
        <f t="shared" si="2"/>
        <v>876</v>
      </c>
      <c r="E46">
        <f t="shared" si="3"/>
        <v>1482.0000000000002</v>
      </c>
      <c r="H46">
        <v>1002</v>
      </c>
      <c r="I46">
        <v>46</v>
      </c>
      <c r="J46">
        <v>600</v>
      </c>
      <c r="K46" s="1">
        <f t="shared" si="4"/>
        <v>384</v>
      </c>
      <c r="L46" s="1">
        <f t="shared" si="5"/>
        <v>600</v>
      </c>
      <c r="M46" s="1">
        <f t="shared" si="6"/>
        <v>876</v>
      </c>
    </row>
    <row r="47" spans="1:13" x14ac:dyDescent="0.2">
      <c r="A47">
        <v>469</v>
      </c>
      <c r="B47" s="1">
        <f t="shared" si="0"/>
        <v>300.16000000000003</v>
      </c>
      <c r="C47" s="1">
        <f t="shared" si="1"/>
        <v>469</v>
      </c>
      <c r="D47" s="1">
        <f t="shared" si="2"/>
        <v>684.74</v>
      </c>
      <c r="E47">
        <f t="shared" si="3"/>
        <v>1158.43</v>
      </c>
      <c r="H47">
        <v>1002</v>
      </c>
      <c r="I47">
        <v>47</v>
      </c>
      <c r="J47">
        <v>469</v>
      </c>
      <c r="K47" s="1">
        <f t="shared" si="4"/>
        <v>300.16000000000003</v>
      </c>
      <c r="L47" s="1">
        <f t="shared" si="5"/>
        <v>469</v>
      </c>
      <c r="M47" s="1">
        <f t="shared" si="6"/>
        <v>684.74</v>
      </c>
    </row>
    <row r="48" spans="1:13" x14ac:dyDescent="0.2">
      <c r="A48">
        <v>480</v>
      </c>
      <c r="B48" s="1">
        <f t="shared" si="0"/>
        <v>307.2</v>
      </c>
      <c r="C48" s="1">
        <f t="shared" si="1"/>
        <v>480</v>
      </c>
      <c r="D48" s="1">
        <f t="shared" si="2"/>
        <v>700.8</v>
      </c>
      <c r="E48">
        <f t="shared" si="3"/>
        <v>1185.6000000000001</v>
      </c>
      <c r="H48">
        <v>1002</v>
      </c>
      <c r="I48">
        <v>48</v>
      </c>
      <c r="J48">
        <v>480</v>
      </c>
      <c r="K48" s="1">
        <f t="shared" si="4"/>
        <v>307.2</v>
      </c>
      <c r="L48" s="1">
        <f t="shared" si="5"/>
        <v>480</v>
      </c>
      <c r="M48" s="1">
        <f t="shared" si="6"/>
        <v>700.8</v>
      </c>
    </row>
    <row r="49" spans="1:13" x14ac:dyDescent="0.2">
      <c r="A49">
        <v>430</v>
      </c>
      <c r="B49" s="1">
        <f t="shared" si="0"/>
        <v>275.2</v>
      </c>
      <c r="C49" s="1">
        <f t="shared" si="1"/>
        <v>430</v>
      </c>
      <c r="D49" s="1">
        <f t="shared" si="2"/>
        <v>627.79999999999995</v>
      </c>
      <c r="E49">
        <f t="shared" si="3"/>
        <v>1062.1000000000001</v>
      </c>
      <c r="H49">
        <v>1002</v>
      </c>
      <c r="I49">
        <v>49</v>
      </c>
      <c r="J49">
        <v>430</v>
      </c>
      <c r="K49" s="1">
        <f t="shared" si="4"/>
        <v>275.2</v>
      </c>
      <c r="L49" s="1">
        <f t="shared" si="5"/>
        <v>430</v>
      </c>
      <c r="M49" s="1">
        <f t="shared" si="6"/>
        <v>627.79999999999995</v>
      </c>
    </row>
    <row r="50" spans="1:13" x14ac:dyDescent="0.2">
      <c r="A50">
        <v>380</v>
      </c>
      <c r="B50" s="1">
        <f t="shared" si="0"/>
        <v>243.20000000000002</v>
      </c>
      <c r="C50" s="1">
        <f t="shared" si="1"/>
        <v>380</v>
      </c>
      <c r="D50" s="1">
        <f t="shared" si="2"/>
        <v>554.79999999999995</v>
      </c>
      <c r="E50">
        <f t="shared" si="3"/>
        <v>938.6</v>
      </c>
      <c r="H50">
        <v>1002</v>
      </c>
      <c r="I50">
        <v>50</v>
      </c>
      <c r="J50">
        <v>380</v>
      </c>
      <c r="K50" s="1">
        <f t="shared" si="4"/>
        <v>243.20000000000002</v>
      </c>
      <c r="L50" s="1">
        <f t="shared" si="5"/>
        <v>380</v>
      </c>
      <c r="M50" s="1">
        <f t="shared" si="6"/>
        <v>554.79999999999995</v>
      </c>
    </row>
    <row r="51" spans="1:13" x14ac:dyDescent="0.2">
      <c r="A51">
        <v>330</v>
      </c>
      <c r="B51" s="1">
        <f t="shared" si="0"/>
        <v>211.20000000000002</v>
      </c>
      <c r="C51" s="1">
        <f t="shared" si="1"/>
        <v>330</v>
      </c>
      <c r="D51" s="1">
        <f t="shared" si="2"/>
        <v>481.8</v>
      </c>
      <c r="E51">
        <f t="shared" si="3"/>
        <v>815.1</v>
      </c>
      <c r="H51">
        <v>1002</v>
      </c>
      <c r="I51">
        <v>51</v>
      </c>
      <c r="J51">
        <v>330</v>
      </c>
      <c r="K51" s="1">
        <f t="shared" si="4"/>
        <v>211.20000000000002</v>
      </c>
      <c r="L51" s="1">
        <f t="shared" si="5"/>
        <v>330</v>
      </c>
      <c r="M51" s="1">
        <f t="shared" si="6"/>
        <v>481.8</v>
      </c>
    </row>
    <row r="52" spans="1:13" x14ac:dyDescent="0.2">
      <c r="A52">
        <v>290</v>
      </c>
      <c r="B52" s="1">
        <f t="shared" si="0"/>
        <v>185.6</v>
      </c>
      <c r="C52" s="1">
        <f t="shared" si="1"/>
        <v>290</v>
      </c>
      <c r="D52" s="1">
        <f t="shared" si="2"/>
        <v>423.4</v>
      </c>
      <c r="E52">
        <f t="shared" si="3"/>
        <v>716.30000000000007</v>
      </c>
      <c r="H52">
        <v>1002</v>
      </c>
      <c r="I52">
        <v>52</v>
      </c>
      <c r="J52">
        <v>290</v>
      </c>
      <c r="K52" s="1">
        <f t="shared" si="4"/>
        <v>185.6</v>
      </c>
      <c r="L52" s="1">
        <f t="shared" si="5"/>
        <v>290</v>
      </c>
      <c r="M52" s="1">
        <f t="shared" si="6"/>
        <v>423.4</v>
      </c>
    </row>
    <row r="53" spans="1:13" x14ac:dyDescent="0.2">
      <c r="A53">
        <v>260</v>
      </c>
      <c r="B53" s="1">
        <f t="shared" si="0"/>
        <v>166.4</v>
      </c>
      <c r="C53" s="1">
        <f t="shared" si="1"/>
        <v>260</v>
      </c>
      <c r="D53" s="1">
        <f t="shared" si="2"/>
        <v>379.59999999999997</v>
      </c>
      <c r="E53">
        <f t="shared" si="3"/>
        <v>642.20000000000005</v>
      </c>
      <c r="H53">
        <v>1002</v>
      </c>
      <c r="I53">
        <v>53</v>
      </c>
      <c r="J53">
        <v>260</v>
      </c>
      <c r="K53" s="1">
        <f t="shared" si="4"/>
        <v>166.4</v>
      </c>
      <c r="L53" s="1">
        <f t="shared" si="5"/>
        <v>260</v>
      </c>
      <c r="M53" s="1">
        <f t="shared" si="6"/>
        <v>379.59999999999997</v>
      </c>
    </row>
    <row r="54" spans="1:13" x14ac:dyDescent="0.2">
      <c r="A54">
        <v>262</v>
      </c>
      <c r="B54" s="1">
        <f t="shared" si="0"/>
        <v>167.68</v>
      </c>
      <c r="C54" s="1">
        <f t="shared" si="1"/>
        <v>262</v>
      </c>
      <c r="D54" s="1">
        <f t="shared" si="2"/>
        <v>382.52</v>
      </c>
      <c r="E54">
        <f t="shared" si="3"/>
        <v>647.1400000000001</v>
      </c>
      <c r="H54">
        <v>1002</v>
      </c>
      <c r="I54">
        <v>54</v>
      </c>
      <c r="J54">
        <v>262</v>
      </c>
      <c r="K54" s="1">
        <f t="shared" si="4"/>
        <v>167.68</v>
      </c>
      <c r="L54" s="1">
        <f t="shared" si="5"/>
        <v>262</v>
      </c>
      <c r="M54" s="1">
        <f t="shared" si="6"/>
        <v>382.52</v>
      </c>
    </row>
    <row r="55" spans="1:13" x14ac:dyDescent="0.2">
      <c r="A55">
        <v>264</v>
      </c>
      <c r="B55" s="1">
        <f t="shared" si="0"/>
        <v>168.96</v>
      </c>
      <c r="C55" s="1">
        <f t="shared" si="1"/>
        <v>264</v>
      </c>
      <c r="D55" s="1">
        <f t="shared" si="2"/>
        <v>385.44</v>
      </c>
      <c r="E55">
        <f t="shared" si="3"/>
        <v>652.08000000000004</v>
      </c>
      <c r="H55">
        <v>1002</v>
      </c>
      <c r="I55">
        <v>55</v>
      </c>
      <c r="J55">
        <v>264</v>
      </c>
      <c r="K55" s="1">
        <f t="shared" si="4"/>
        <v>168.96</v>
      </c>
      <c r="L55" s="1">
        <f t="shared" si="5"/>
        <v>264</v>
      </c>
      <c r="M55" s="1">
        <f t="shared" si="6"/>
        <v>385.44</v>
      </c>
    </row>
    <row r="56" spans="1:13" x14ac:dyDescent="0.2">
      <c r="A56">
        <v>267</v>
      </c>
      <c r="B56" s="1">
        <f t="shared" si="0"/>
        <v>170.88</v>
      </c>
      <c r="C56" s="1">
        <f t="shared" si="1"/>
        <v>267</v>
      </c>
      <c r="D56" s="1">
        <f t="shared" si="2"/>
        <v>389.82</v>
      </c>
      <c r="E56">
        <f t="shared" si="3"/>
        <v>659.49</v>
      </c>
      <c r="H56">
        <v>1002</v>
      </c>
      <c r="I56">
        <v>56</v>
      </c>
      <c r="J56">
        <v>267</v>
      </c>
      <c r="K56" s="1">
        <f t="shared" si="4"/>
        <v>170.88</v>
      </c>
      <c r="L56" s="1">
        <f t="shared" si="5"/>
        <v>267</v>
      </c>
      <c r="M56" s="1">
        <f t="shared" si="6"/>
        <v>389.82</v>
      </c>
    </row>
    <row r="57" spans="1:13" x14ac:dyDescent="0.2">
      <c r="A57">
        <v>269</v>
      </c>
      <c r="B57" s="1">
        <f t="shared" si="0"/>
        <v>172.16</v>
      </c>
      <c r="C57" s="1">
        <f t="shared" si="1"/>
        <v>269</v>
      </c>
      <c r="D57" s="1">
        <f t="shared" si="2"/>
        <v>392.74</v>
      </c>
      <c r="E57">
        <f t="shared" si="3"/>
        <v>664.43000000000006</v>
      </c>
      <c r="H57">
        <v>1002</v>
      </c>
      <c r="I57">
        <v>57</v>
      </c>
      <c r="J57">
        <v>269</v>
      </c>
      <c r="K57" s="1">
        <f t="shared" si="4"/>
        <v>172.16</v>
      </c>
      <c r="L57" s="1">
        <f t="shared" si="5"/>
        <v>269</v>
      </c>
      <c r="M57" s="1">
        <f t="shared" si="6"/>
        <v>392.74</v>
      </c>
    </row>
    <row r="58" spans="1:13" x14ac:dyDescent="0.2">
      <c r="A58">
        <v>271</v>
      </c>
      <c r="B58" s="1">
        <f t="shared" si="0"/>
        <v>173.44</v>
      </c>
      <c r="C58" s="1">
        <f t="shared" si="1"/>
        <v>271</v>
      </c>
      <c r="D58" s="1">
        <f t="shared" si="2"/>
        <v>395.65999999999997</v>
      </c>
      <c r="E58">
        <f t="shared" si="3"/>
        <v>669.37</v>
      </c>
      <c r="H58">
        <v>1002</v>
      </c>
      <c r="I58">
        <v>58</v>
      </c>
      <c r="J58">
        <v>271</v>
      </c>
      <c r="K58" s="1">
        <f t="shared" si="4"/>
        <v>173.44</v>
      </c>
      <c r="L58" s="1">
        <f t="shared" si="5"/>
        <v>271</v>
      </c>
      <c r="M58" s="1">
        <f t="shared" si="6"/>
        <v>395.65999999999997</v>
      </c>
    </row>
    <row r="59" spans="1:13" x14ac:dyDescent="0.2">
      <c r="A59">
        <v>273</v>
      </c>
      <c r="B59" s="1">
        <f t="shared" si="0"/>
        <v>174.72</v>
      </c>
      <c r="C59" s="1">
        <f t="shared" si="1"/>
        <v>273</v>
      </c>
      <c r="D59" s="1">
        <f t="shared" si="2"/>
        <v>398.58</v>
      </c>
      <c r="E59">
        <f t="shared" si="3"/>
        <v>674.31000000000006</v>
      </c>
      <c r="H59">
        <v>1002</v>
      </c>
      <c r="I59">
        <v>59</v>
      </c>
      <c r="J59">
        <v>273</v>
      </c>
      <c r="K59" s="1">
        <f t="shared" si="4"/>
        <v>174.72</v>
      </c>
      <c r="L59" s="1">
        <f t="shared" si="5"/>
        <v>273</v>
      </c>
      <c r="M59" s="1">
        <f t="shared" si="6"/>
        <v>398.58</v>
      </c>
    </row>
    <row r="60" spans="1:13" x14ac:dyDescent="0.2">
      <c r="A60">
        <v>276</v>
      </c>
      <c r="B60" s="1">
        <f t="shared" si="0"/>
        <v>176.64000000000001</v>
      </c>
      <c r="C60" s="1">
        <f t="shared" si="1"/>
        <v>276</v>
      </c>
      <c r="D60" s="1">
        <f t="shared" si="2"/>
        <v>402.96</v>
      </c>
      <c r="E60">
        <f t="shared" si="3"/>
        <v>681.72</v>
      </c>
      <c r="H60">
        <v>1002</v>
      </c>
      <c r="I60">
        <v>60</v>
      </c>
      <c r="J60">
        <v>276</v>
      </c>
      <c r="K60" s="1">
        <f t="shared" si="4"/>
        <v>176.64000000000001</v>
      </c>
      <c r="L60" s="1">
        <f t="shared" si="5"/>
        <v>276</v>
      </c>
      <c r="M60" s="1">
        <f t="shared" si="6"/>
        <v>402.96</v>
      </c>
    </row>
    <row r="61" spans="1:13" x14ac:dyDescent="0.2">
      <c r="A61">
        <v>278</v>
      </c>
      <c r="B61" s="1">
        <f t="shared" si="0"/>
        <v>177.92000000000002</v>
      </c>
      <c r="C61" s="1">
        <f t="shared" si="1"/>
        <v>278</v>
      </c>
      <c r="D61" s="1">
        <f t="shared" si="2"/>
        <v>405.88</v>
      </c>
      <c r="E61">
        <f t="shared" si="3"/>
        <v>686.66000000000008</v>
      </c>
      <c r="H61">
        <v>1002</v>
      </c>
      <c r="I61">
        <v>61</v>
      </c>
      <c r="J61">
        <v>278</v>
      </c>
      <c r="K61" s="1">
        <f t="shared" si="4"/>
        <v>177.92000000000002</v>
      </c>
      <c r="L61" s="1">
        <f t="shared" si="5"/>
        <v>278</v>
      </c>
      <c r="M61" s="1">
        <f t="shared" si="6"/>
        <v>405.88</v>
      </c>
    </row>
    <row r="62" spans="1:13" x14ac:dyDescent="0.2">
      <c r="A62">
        <v>280</v>
      </c>
      <c r="B62" s="1">
        <f t="shared" si="0"/>
        <v>179.20000000000002</v>
      </c>
      <c r="C62" s="1">
        <f t="shared" si="1"/>
        <v>280</v>
      </c>
      <c r="D62" s="1">
        <f t="shared" si="2"/>
        <v>408.8</v>
      </c>
      <c r="E62">
        <f t="shared" si="3"/>
        <v>691.6</v>
      </c>
      <c r="H62">
        <v>1002</v>
      </c>
      <c r="I62">
        <v>62</v>
      </c>
      <c r="J62">
        <v>280</v>
      </c>
      <c r="K62" s="1">
        <f t="shared" si="4"/>
        <v>179.20000000000002</v>
      </c>
      <c r="L62" s="1">
        <f t="shared" si="5"/>
        <v>280</v>
      </c>
      <c r="M62" s="1">
        <f t="shared" si="6"/>
        <v>408.8</v>
      </c>
    </row>
    <row r="63" spans="1:13" x14ac:dyDescent="0.2">
      <c r="A63">
        <v>282</v>
      </c>
      <c r="B63" s="1">
        <f t="shared" si="0"/>
        <v>180.48</v>
      </c>
      <c r="C63" s="1">
        <f t="shared" si="1"/>
        <v>282</v>
      </c>
      <c r="D63" s="1">
        <f t="shared" si="2"/>
        <v>411.71999999999997</v>
      </c>
      <c r="E63">
        <f t="shared" si="3"/>
        <v>696.54000000000008</v>
      </c>
      <c r="H63">
        <v>1002</v>
      </c>
      <c r="I63">
        <v>63</v>
      </c>
      <c r="J63">
        <v>282</v>
      </c>
      <c r="K63" s="1">
        <f t="shared" si="4"/>
        <v>180.48</v>
      </c>
      <c r="L63" s="1">
        <f t="shared" si="5"/>
        <v>282</v>
      </c>
      <c r="M63" s="1">
        <f t="shared" si="6"/>
        <v>411.71999999999997</v>
      </c>
    </row>
    <row r="64" spans="1:13" x14ac:dyDescent="0.2">
      <c r="A64">
        <v>283</v>
      </c>
      <c r="B64" s="1">
        <f t="shared" si="0"/>
        <v>181.12</v>
      </c>
      <c r="C64" s="1">
        <f t="shared" si="1"/>
        <v>283</v>
      </c>
      <c r="D64" s="1">
        <f t="shared" si="2"/>
        <v>413.18</v>
      </c>
      <c r="E64">
        <f t="shared" si="3"/>
        <v>699.0100000000001</v>
      </c>
      <c r="H64">
        <v>1002</v>
      </c>
      <c r="I64">
        <v>64</v>
      </c>
      <c r="J64">
        <v>283</v>
      </c>
      <c r="K64" s="1">
        <f t="shared" si="4"/>
        <v>181.12</v>
      </c>
      <c r="L64" s="1">
        <f t="shared" si="5"/>
        <v>283</v>
      </c>
      <c r="M64" s="1">
        <f t="shared" si="6"/>
        <v>413.18</v>
      </c>
    </row>
    <row r="65" spans="4:4" x14ac:dyDescent="0.2">
      <c r="D65" s="2"/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8020-2C77-43EC-8602-58B32D1E0586}">
  <dimension ref="A1:C64"/>
  <sheetViews>
    <sheetView workbookViewId="0">
      <selection activeCell="F11" sqref="F11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20</v>
      </c>
    </row>
    <row r="2" spans="1:3" x14ac:dyDescent="0.2">
      <c r="A2">
        <v>53.720000000000098</v>
      </c>
      <c r="B2">
        <v>113.86</v>
      </c>
      <c r="C2">
        <v>164.3</v>
      </c>
    </row>
    <row r="3" spans="1:3" x14ac:dyDescent="0.2">
      <c r="A3">
        <v>52.06</v>
      </c>
      <c r="B3">
        <v>94.53</v>
      </c>
      <c r="C3">
        <v>130.15</v>
      </c>
    </row>
    <row r="4" spans="1:3" x14ac:dyDescent="0.2">
      <c r="A4">
        <v>24.7</v>
      </c>
      <c r="B4">
        <v>44.85</v>
      </c>
      <c r="C4">
        <v>61.75</v>
      </c>
    </row>
    <row r="5" spans="1:3" x14ac:dyDescent="0.2">
      <c r="A5">
        <v>22.04</v>
      </c>
      <c r="B5">
        <v>40.020000000000003</v>
      </c>
      <c r="C5">
        <v>55.1</v>
      </c>
    </row>
    <row r="6" spans="1:3" x14ac:dyDescent="0.2">
      <c r="A6">
        <v>23.18</v>
      </c>
      <c r="B6">
        <v>42.09</v>
      </c>
      <c r="C6">
        <v>57.95</v>
      </c>
    </row>
    <row r="7" spans="1:3" x14ac:dyDescent="0.2">
      <c r="A7">
        <v>39.9</v>
      </c>
      <c r="B7">
        <v>72.45</v>
      </c>
      <c r="C7">
        <v>99.75</v>
      </c>
    </row>
    <row r="8" spans="1:3" x14ac:dyDescent="0.2">
      <c r="A8">
        <v>79.42</v>
      </c>
      <c r="B8">
        <v>144.21</v>
      </c>
      <c r="C8">
        <v>198.55</v>
      </c>
    </row>
    <row r="9" spans="1:3" x14ac:dyDescent="0.2">
      <c r="A9">
        <v>166.82</v>
      </c>
      <c r="B9">
        <v>302.91000000000003</v>
      </c>
      <c r="C9">
        <v>417.05</v>
      </c>
    </row>
    <row r="10" spans="1:3" x14ac:dyDescent="0.2">
      <c r="A10">
        <v>193.42</v>
      </c>
      <c r="B10">
        <v>351.21</v>
      </c>
      <c r="C10">
        <v>483.55</v>
      </c>
    </row>
    <row r="11" spans="1:3" x14ac:dyDescent="0.2">
      <c r="A11">
        <v>144.4</v>
      </c>
      <c r="B11">
        <v>262.2</v>
      </c>
      <c r="C11">
        <v>361</v>
      </c>
    </row>
    <row r="12" spans="1:3" x14ac:dyDescent="0.2">
      <c r="A12">
        <v>131.86000000000001</v>
      </c>
      <c r="B12">
        <v>239.43</v>
      </c>
      <c r="C12">
        <v>329.65</v>
      </c>
    </row>
    <row r="13" spans="1:3" x14ac:dyDescent="0.2">
      <c r="A13">
        <v>163.4</v>
      </c>
      <c r="B13">
        <v>296.7</v>
      </c>
      <c r="C13">
        <v>408.5</v>
      </c>
    </row>
    <row r="14" spans="1:3" x14ac:dyDescent="0.2">
      <c r="A14">
        <v>189.62</v>
      </c>
      <c r="B14">
        <v>344.31</v>
      </c>
      <c r="C14">
        <v>474.05</v>
      </c>
    </row>
    <row r="15" spans="1:3" x14ac:dyDescent="0.2">
      <c r="A15">
        <v>178.98</v>
      </c>
      <c r="B15">
        <v>324.99</v>
      </c>
      <c r="C15">
        <v>447.45</v>
      </c>
    </row>
    <row r="16" spans="1:3" x14ac:dyDescent="0.2">
      <c r="A16">
        <v>158.46</v>
      </c>
      <c r="B16">
        <v>287.73</v>
      </c>
      <c r="C16">
        <v>396.15</v>
      </c>
    </row>
    <row r="17" spans="1:3" x14ac:dyDescent="0.2">
      <c r="A17">
        <v>128.06</v>
      </c>
      <c r="B17">
        <v>232.53</v>
      </c>
      <c r="C17">
        <v>320.14999999999998</v>
      </c>
    </row>
    <row r="18" spans="1:3" x14ac:dyDescent="0.2">
      <c r="A18">
        <v>144.78</v>
      </c>
      <c r="B18">
        <v>262.89</v>
      </c>
      <c r="C18">
        <v>361.95</v>
      </c>
    </row>
    <row r="19" spans="1:3" x14ac:dyDescent="0.2">
      <c r="A19">
        <v>288.42</v>
      </c>
      <c r="B19">
        <v>523.71</v>
      </c>
      <c r="C19">
        <v>721.05</v>
      </c>
    </row>
    <row r="20" spans="1:3" x14ac:dyDescent="0.2">
      <c r="A20">
        <v>353.78</v>
      </c>
      <c r="B20">
        <v>642.39</v>
      </c>
      <c r="C20">
        <v>884.45</v>
      </c>
    </row>
    <row r="21" spans="1:3" x14ac:dyDescent="0.2">
      <c r="A21">
        <v>291.08</v>
      </c>
      <c r="B21">
        <v>528.54</v>
      </c>
      <c r="C21">
        <v>727.7</v>
      </c>
    </row>
    <row r="22" spans="1:3" x14ac:dyDescent="0.2">
      <c r="A22">
        <v>114</v>
      </c>
      <c r="B22">
        <v>207</v>
      </c>
      <c r="C22">
        <v>285</v>
      </c>
    </row>
    <row r="23" spans="1:3" x14ac:dyDescent="0.2">
      <c r="A23">
        <v>357.2</v>
      </c>
      <c r="B23">
        <v>648.6</v>
      </c>
      <c r="C23">
        <v>847.39281841343302</v>
      </c>
    </row>
    <row r="24" spans="1:3" x14ac:dyDescent="0.2">
      <c r="A24">
        <v>605.72</v>
      </c>
      <c r="B24">
        <v>1099.8599999999999</v>
      </c>
      <c r="C24">
        <v>565.72293658892602</v>
      </c>
    </row>
    <row r="25" spans="1:3" x14ac:dyDescent="0.2">
      <c r="A25">
        <v>949.63346887553405</v>
      </c>
      <c r="B25">
        <v>2001.4753926062899</v>
      </c>
      <c r="C25">
        <v>865.72293658892602</v>
      </c>
    </row>
    <row r="26" spans="1:3" x14ac:dyDescent="0.2">
      <c r="A26">
        <v>1249.6334688755301</v>
      </c>
      <c r="B26">
        <v>1701.4753926062899</v>
      </c>
      <c r="C26">
        <v>2100.7335306309401</v>
      </c>
    </row>
    <row r="27" spans="1:3" x14ac:dyDescent="0.2">
      <c r="A27">
        <v>1148.1530622489299</v>
      </c>
      <c r="B27">
        <v>1255.58583519187</v>
      </c>
      <c r="C27">
        <v>1539</v>
      </c>
    </row>
    <row r="28" spans="1:3" x14ac:dyDescent="0.2">
      <c r="A28">
        <v>559.36</v>
      </c>
      <c r="B28">
        <v>955.585835191873</v>
      </c>
      <c r="C28">
        <v>1398.4</v>
      </c>
    </row>
    <row r="29" spans="1:3" x14ac:dyDescent="0.2">
      <c r="A29">
        <v>446.12</v>
      </c>
      <c r="B29">
        <v>1255.58583519187</v>
      </c>
      <c r="C29">
        <v>1115.3</v>
      </c>
    </row>
    <row r="30" spans="1:3" x14ac:dyDescent="0.2">
      <c r="A30">
        <v>358.34</v>
      </c>
      <c r="B30">
        <v>955.585835191873</v>
      </c>
      <c r="C30">
        <v>1025.2779511260001</v>
      </c>
    </row>
    <row r="31" spans="1:3" x14ac:dyDescent="0.2">
      <c r="A31">
        <v>238.26</v>
      </c>
      <c r="B31">
        <v>861.95587401993805</v>
      </c>
      <c r="C31">
        <v>1325.2779511260001</v>
      </c>
    </row>
    <row r="32" spans="1:3" x14ac:dyDescent="0.2">
      <c r="A32">
        <v>197.22</v>
      </c>
      <c r="B32">
        <v>358.11</v>
      </c>
      <c r="C32">
        <v>1625.2779511260001</v>
      </c>
    </row>
    <row r="33" spans="1:3" x14ac:dyDescent="0.2">
      <c r="A33">
        <v>178.98</v>
      </c>
      <c r="B33">
        <v>324.99</v>
      </c>
      <c r="C33">
        <v>1325.2779511260001</v>
      </c>
    </row>
    <row r="34" spans="1:3" x14ac:dyDescent="0.2">
      <c r="A34">
        <v>169.86</v>
      </c>
      <c r="B34">
        <v>308.43</v>
      </c>
      <c r="C34">
        <v>1025.2779511260001</v>
      </c>
    </row>
    <row r="35" spans="1:3" x14ac:dyDescent="0.2">
      <c r="A35">
        <v>161.88</v>
      </c>
      <c r="B35">
        <v>293.94</v>
      </c>
      <c r="C35">
        <v>725.27795112599802</v>
      </c>
    </row>
    <row r="36" spans="1:3" x14ac:dyDescent="0.2">
      <c r="A36">
        <v>159.6</v>
      </c>
      <c r="B36">
        <v>289.8</v>
      </c>
      <c r="C36">
        <v>1025.2779511260001</v>
      </c>
    </row>
    <row r="37" spans="1:3" x14ac:dyDescent="0.2">
      <c r="A37">
        <v>158.84</v>
      </c>
      <c r="B37">
        <v>288.42</v>
      </c>
      <c r="C37">
        <v>725.27795112599802</v>
      </c>
    </row>
    <row r="38" spans="1:3" x14ac:dyDescent="0.2">
      <c r="A38">
        <v>157.69999999999999</v>
      </c>
      <c r="B38">
        <v>286.35000000000002</v>
      </c>
      <c r="C38">
        <v>250.71852915034799</v>
      </c>
    </row>
    <row r="39" spans="1:3" x14ac:dyDescent="0.2">
      <c r="A39">
        <v>145.91999999999999</v>
      </c>
      <c r="B39">
        <v>247.20868544664401</v>
      </c>
      <c r="C39">
        <v>428.73162074848102</v>
      </c>
    </row>
    <row r="40" spans="1:3" x14ac:dyDescent="0.2">
      <c r="A40">
        <v>137.94</v>
      </c>
      <c r="B40">
        <v>268.22131455335602</v>
      </c>
      <c r="C40">
        <v>536.954018870965</v>
      </c>
    </row>
    <row r="41" spans="1:3" x14ac:dyDescent="0.2">
      <c r="A41">
        <v>131.1</v>
      </c>
      <c r="B41">
        <v>238.05</v>
      </c>
      <c r="C41">
        <v>327.75</v>
      </c>
    </row>
    <row r="42" spans="1:3" x14ac:dyDescent="0.2">
      <c r="A42">
        <v>123.88</v>
      </c>
      <c r="B42">
        <v>177.39170994272399</v>
      </c>
      <c r="C42">
        <v>309.7</v>
      </c>
    </row>
    <row r="43" spans="1:3" x14ac:dyDescent="0.2">
      <c r="A43">
        <v>121.22</v>
      </c>
      <c r="B43">
        <v>267.65829005727602</v>
      </c>
      <c r="C43">
        <v>303.05</v>
      </c>
    </row>
    <row r="44" spans="1:3" x14ac:dyDescent="0.2">
      <c r="A44">
        <v>118.56</v>
      </c>
      <c r="B44">
        <v>38.074907715172003</v>
      </c>
      <c r="C44">
        <v>296.39999999999998</v>
      </c>
    </row>
    <row r="45" spans="1:3" x14ac:dyDescent="0.2">
      <c r="A45">
        <v>115.52</v>
      </c>
      <c r="B45">
        <v>226.107712491705</v>
      </c>
      <c r="C45">
        <v>288.8</v>
      </c>
    </row>
    <row r="46" spans="1:3" x14ac:dyDescent="0.2">
      <c r="A46">
        <v>107.54</v>
      </c>
      <c r="B46">
        <v>331.90487427132598</v>
      </c>
      <c r="C46">
        <v>268.85000000000002</v>
      </c>
    </row>
    <row r="47" spans="1:3" x14ac:dyDescent="0.2">
      <c r="A47">
        <v>98.8</v>
      </c>
      <c r="B47">
        <v>139.30677641999199</v>
      </c>
      <c r="C47">
        <v>247</v>
      </c>
    </row>
    <row r="48" spans="1:3" x14ac:dyDescent="0.2">
      <c r="A48">
        <v>132.24</v>
      </c>
      <c r="B48">
        <v>304.43572910180598</v>
      </c>
      <c r="C48">
        <v>330.6</v>
      </c>
    </row>
    <row r="49" spans="1:3" x14ac:dyDescent="0.2">
      <c r="A49">
        <v>82.46</v>
      </c>
      <c r="B49">
        <v>31.204917224046401</v>
      </c>
      <c r="C49">
        <v>206.15</v>
      </c>
    </row>
    <row r="50" spans="1:3" x14ac:dyDescent="0.2">
      <c r="A50">
        <v>77.52</v>
      </c>
      <c r="B50">
        <v>213.601773428787</v>
      </c>
      <c r="C50">
        <v>193.8</v>
      </c>
    </row>
    <row r="51" spans="1:3" x14ac:dyDescent="0.2">
      <c r="A51">
        <v>74.099999999999994</v>
      </c>
      <c r="B51">
        <v>180.23330934716699</v>
      </c>
      <c r="C51">
        <v>185.25</v>
      </c>
    </row>
    <row r="52" spans="1:3" x14ac:dyDescent="0.2">
      <c r="A52">
        <v>71.06</v>
      </c>
      <c r="B52">
        <v>129.03</v>
      </c>
      <c r="C52">
        <v>177.65</v>
      </c>
    </row>
    <row r="53" spans="1:3" x14ac:dyDescent="0.2">
      <c r="A53">
        <v>68.400000000000006</v>
      </c>
      <c r="B53">
        <v>124.2</v>
      </c>
      <c r="C53">
        <v>171</v>
      </c>
    </row>
    <row r="54" spans="1:3" x14ac:dyDescent="0.2">
      <c r="A54">
        <v>64.98</v>
      </c>
      <c r="B54">
        <v>117.99</v>
      </c>
      <c r="C54">
        <v>162.44999999999999</v>
      </c>
    </row>
    <row r="55" spans="1:3" x14ac:dyDescent="0.2">
      <c r="A55">
        <v>61.94</v>
      </c>
      <c r="B55">
        <v>112.47</v>
      </c>
      <c r="C55">
        <v>154.85</v>
      </c>
    </row>
    <row r="56" spans="1:3" x14ac:dyDescent="0.2">
      <c r="A56">
        <v>59.28</v>
      </c>
      <c r="B56">
        <v>107.64</v>
      </c>
      <c r="C56">
        <v>148.19999999999999</v>
      </c>
    </row>
    <row r="57" spans="1:3" x14ac:dyDescent="0.2">
      <c r="A57">
        <v>56.62</v>
      </c>
      <c r="B57">
        <v>102.81</v>
      </c>
      <c r="C57">
        <v>141.55000000000001</v>
      </c>
    </row>
    <row r="58" spans="1:3" x14ac:dyDescent="0.2">
      <c r="A58">
        <v>53.96</v>
      </c>
      <c r="B58">
        <v>97.98</v>
      </c>
      <c r="C58">
        <v>134.9</v>
      </c>
    </row>
    <row r="59" spans="1:3" x14ac:dyDescent="0.2">
      <c r="A59">
        <v>25.84</v>
      </c>
      <c r="B59">
        <v>46.92</v>
      </c>
      <c r="C59">
        <v>64.599999999999994</v>
      </c>
    </row>
    <row r="60" spans="1:3" x14ac:dyDescent="0.2">
      <c r="A60">
        <v>26.22</v>
      </c>
      <c r="B60">
        <v>47.61</v>
      </c>
      <c r="C60">
        <v>65.55</v>
      </c>
    </row>
    <row r="61" spans="1:3" x14ac:dyDescent="0.2">
      <c r="A61">
        <v>26.6</v>
      </c>
      <c r="B61">
        <v>48.3</v>
      </c>
      <c r="C61">
        <v>66.5</v>
      </c>
    </row>
    <row r="62" spans="1:3" x14ac:dyDescent="0.2">
      <c r="A62">
        <v>26.98</v>
      </c>
      <c r="B62">
        <v>48.99</v>
      </c>
      <c r="C62">
        <v>67.45</v>
      </c>
    </row>
    <row r="63" spans="1:3" x14ac:dyDescent="0.2">
      <c r="A63">
        <v>26.98</v>
      </c>
      <c r="B63">
        <v>48.99</v>
      </c>
      <c r="C63">
        <v>67.45</v>
      </c>
    </row>
    <row r="64" spans="1:3" x14ac:dyDescent="0.2">
      <c r="A64">
        <v>26.98</v>
      </c>
      <c r="B64">
        <v>48.99</v>
      </c>
      <c r="C64">
        <v>67.45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F149-654D-4ED1-9256-FC2467F54BB0}">
  <dimension ref="A1:C64"/>
  <sheetViews>
    <sheetView workbookViewId="0">
      <selection activeCell="B6" sqref="B6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20</v>
      </c>
    </row>
    <row r="2" spans="1:3" x14ac:dyDescent="0.2">
      <c r="A2">
        <v>159.56</v>
      </c>
      <c r="B2">
        <v>253.36</v>
      </c>
      <c r="C2">
        <v>253.36</v>
      </c>
    </row>
    <row r="3" spans="1:3" x14ac:dyDescent="0.2">
      <c r="A3">
        <v>65.698156416697998</v>
      </c>
      <c r="B3">
        <v>268.07665241751698</v>
      </c>
      <c r="C3">
        <v>59.486820794963201</v>
      </c>
    </row>
    <row r="4" spans="1:3" x14ac:dyDescent="0.2">
      <c r="A4">
        <v>265.698156416698</v>
      </c>
      <c r="B4">
        <v>226.700053864236</v>
      </c>
      <c r="C4">
        <v>220.057831093716</v>
      </c>
    </row>
    <row r="5" spans="1:3" x14ac:dyDescent="0.2">
      <c r="A5">
        <v>83.208134925654207</v>
      </c>
      <c r="B5">
        <v>86.628406829431796</v>
      </c>
      <c r="C5">
        <v>59.236965322909697</v>
      </c>
    </row>
    <row r="6" spans="1:3" x14ac:dyDescent="0.2">
      <c r="A6">
        <v>59.742786074158097</v>
      </c>
      <c r="B6">
        <v>524.20777630208602</v>
      </c>
      <c r="C6">
        <v>107.46287429065001</v>
      </c>
    </row>
    <row r="7" spans="1:3" x14ac:dyDescent="0.2">
      <c r="A7">
        <v>259.742786074158</v>
      </c>
      <c r="B7">
        <v>225.85553206709901</v>
      </c>
      <c r="C7">
        <v>397.85908308858399</v>
      </c>
    </row>
    <row r="8" spans="1:3" x14ac:dyDescent="0.2">
      <c r="A8">
        <v>323.16998009263398</v>
      </c>
      <c r="B8">
        <v>278.09157851962999</v>
      </c>
      <c r="C8">
        <v>87.570458065951399</v>
      </c>
    </row>
    <row r="9" spans="1:3" x14ac:dyDescent="0.2">
      <c r="A9">
        <v>234.5</v>
      </c>
      <c r="B9">
        <v>201.37415538412699</v>
      </c>
      <c r="C9">
        <v>562.84143130876703</v>
      </c>
    </row>
    <row r="10" spans="1:3" x14ac:dyDescent="0.2">
      <c r="A10">
        <v>306.19</v>
      </c>
      <c r="B10">
        <v>59.313414675902102</v>
      </c>
      <c r="C10">
        <v>90.277506021161798</v>
      </c>
    </row>
    <row r="11" spans="1:3" x14ac:dyDescent="0.2">
      <c r="A11">
        <v>255.73026724578199</v>
      </c>
      <c r="B11">
        <v>198.57586543715999</v>
      </c>
      <c r="C11">
        <v>65.473435254302103</v>
      </c>
    </row>
    <row r="12" spans="1:3" x14ac:dyDescent="0.2">
      <c r="A12">
        <v>255.69958692124601</v>
      </c>
      <c r="B12">
        <v>657.95687338464302</v>
      </c>
      <c r="C12">
        <v>368.54883922318498</v>
      </c>
    </row>
    <row r="13" spans="1:3" x14ac:dyDescent="0.2">
      <c r="A13">
        <v>259.96584370014699</v>
      </c>
      <c r="B13">
        <v>400.58580720614702</v>
      </c>
      <c r="C13">
        <v>536.52894441201795</v>
      </c>
    </row>
    <row r="14" spans="1:3" x14ac:dyDescent="0.2">
      <c r="A14">
        <v>300.25055949646099</v>
      </c>
      <c r="B14">
        <v>345.01097963723601</v>
      </c>
      <c r="C14">
        <v>428.09584896827602</v>
      </c>
    </row>
    <row r="15" spans="1:3" x14ac:dyDescent="0.2">
      <c r="A15">
        <v>201.99502728516501</v>
      </c>
      <c r="B15">
        <v>59.196481912753498</v>
      </c>
      <c r="C15">
        <v>124.64413327491999</v>
      </c>
    </row>
    <row r="16" spans="1:3" x14ac:dyDescent="0.2">
      <c r="A16">
        <v>338.72374904471502</v>
      </c>
      <c r="B16">
        <v>405.74992413906699</v>
      </c>
      <c r="C16">
        <v>167.36695051549501</v>
      </c>
    </row>
    <row r="17" spans="1:3" x14ac:dyDescent="0.2">
      <c r="A17">
        <v>193.243686009573</v>
      </c>
      <c r="B17">
        <v>74.429215075311305</v>
      </c>
      <c r="C17">
        <v>655.29881382220196</v>
      </c>
    </row>
    <row r="18" spans="1:3" x14ac:dyDescent="0.2">
      <c r="A18">
        <v>78.495638283037195</v>
      </c>
      <c r="B18">
        <v>429.93082568244103</v>
      </c>
      <c r="C18">
        <v>350.96599659666799</v>
      </c>
    </row>
    <row r="19" spans="1:3" x14ac:dyDescent="0.2">
      <c r="A19">
        <v>278.49563828303701</v>
      </c>
      <c r="B19">
        <v>293.86816347580998</v>
      </c>
      <c r="C19">
        <v>116.83849147254401</v>
      </c>
    </row>
    <row r="20" spans="1:3" x14ac:dyDescent="0.2">
      <c r="A20">
        <v>198.02158325477299</v>
      </c>
      <c r="B20">
        <v>79.663155683316205</v>
      </c>
      <c r="C20">
        <v>236.829772119566</v>
      </c>
    </row>
    <row r="21" spans="1:3" x14ac:dyDescent="0.2">
      <c r="A21">
        <v>144.53717395114199</v>
      </c>
      <c r="B21">
        <v>1557.7603234912699</v>
      </c>
      <c r="C21">
        <v>238.85261577169001</v>
      </c>
    </row>
    <row r="22" spans="1:3" x14ac:dyDescent="0.2">
      <c r="A22">
        <v>86.3161984534689</v>
      </c>
      <c r="B22">
        <v>2172.6</v>
      </c>
      <c r="C22">
        <v>599.555304984553</v>
      </c>
    </row>
    <row r="23" spans="1:3" x14ac:dyDescent="0.2">
      <c r="A23">
        <v>306.95023325662999</v>
      </c>
      <c r="B23">
        <v>1632</v>
      </c>
      <c r="C23">
        <v>1632</v>
      </c>
    </row>
    <row r="24" spans="1:3" x14ac:dyDescent="0.2">
      <c r="A24">
        <v>807.35</v>
      </c>
      <c r="B24">
        <v>1229.0999999999999</v>
      </c>
      <c r="C24">
        <v>1229.0999999999999</v>
      </c>
    </row>
    <row r="25" spans="1:3" x14ac:dyDescent="0.2">
      <c r="A25">
        <v>556.1</v>
      </c>
      <c r="B25">
        <v>846.6</v>
      </c>
      <c r="C25">
        <v>846.6</v>
      </c>
    </row>
    <row r="26" spans="1:3" x14ac:dyDescent="0.2">
      <c r="A26">
        <v>428.8</v>
      </c>
      <c r="B26">
        <v>652.79999999999995</v>
      </c>
      <c r="C26">
        <v>652.79999999999995</v>
      </c>
    </row>
    <row r="27" spans="1:3" x14ac:dyDescent="0.2">
      <c r="A27">
        <v>341.7</v>
      </c>
      <c r="B27">
        <v>520.20000000000005</v>
      </c>
      <c r="C27">
        <v>520.20000000000005</v>
      </c>
    </row>
    <row r="28" spans="1:3" x14ac:dyDescent="0.2">
      <c r="A28">
        <v>358.59829936088602</v>
      </c>
      <c r="B28">
        <v>433.5</v>
      </c>
      <c r="C28">
        <v>433.5</v>
      </c>
    </row>
    <row r="29" spans="1:3" x14ac:dyDescent="0.2">
      <c r="A29">
        <v>298.12459217918803</v>
      </c>
      <c r="B29">
        <v>372.3</v>
      </c>
      <c r="C29">
        <v>383.50554791287198</v>
      </c>
    </row>
    <row r="30" spans="1:3" x14ac:dyDescent="0.2">
      <c r="A30">
        <v>98.124592179188099</v>
      </c>
      <c r="B30">
        <v>328.44</v>
      </c>
      <c r="C30">
        <v>317.234452087129</v>
      </c>
    </row>
    <row r="31" spans="1:3" x14ac:dyDescent="0.2">
      <c r="A31">
        <v>298.12459217918803</v>
      </c>
      <c r="B31">
        <v>616.42147046791501</v>
      </c>
      <c r="C31">
        <v>285.60000000000002</v>
      </c>
    </row>
    <row r="32" spans="1:3" x14ac:dyDescent="0.2">
      <c r="A32">
        <v>116.912489616702</v>
      </c>
      <c r="B32">
        <v>736.07076153505295</v>
      </c>
      <c r="C32">
        <v>255</v>
      </c>
    </row>
    <row r="33" spans="1:3" x14ac:dyDescent="0.2">
      <c r="A33">
        <v>77.655434484847603</v>
      </c>
      <c r="B33">
        <v>236.07076153505301</v>
      </c>
      <c r="C33">
        <v>224.4</v>
      </c>
    </row>
    <row r="34" spans="1:3" x14ac:dyDescent="0.2">
      <c r="A34">
        <v>136.68</v>
      </c>
      <c r="B34">
        <v>162.965080260767</v>
      </c>
      <c r="C34">
        <v>208.08</v>
      </c>
    </row>
    <row r="35" spans="1:3" x14ac:dyDescent="0.2">
      <c r="A35">
        <v>125.29</v>
      </c>
      <c r="B35">
        <v>138.328938177992</v>
      </c>
      <c r="C35">
        <v>190.74</v>
      </c>
    </row>
    <row r="36" spans="1:3" x14ac:dyDescent="0.2">
      <c r="A36">
        <v>277.99950211460299</v>
      </c>
      <c r="B36">
        <v>358.47608084925201</v>
      </c>
      <c r="C36">
        <v>201.319835451335</v>
      </c>
    </row>
    <row r="37" spans="1:3" x14ac:dyDescent="0.2">
      <c r="A37">
        <v>327.60333476716102</v>
      </c>
      <c r="B37">
        <v>82.739807010032294</v>
      </c>
      <c r="C37">
        <v>200.459167653945</v>
      </c>
    </row>
    <row r="38" spans="1:3" x14ac:dyDescent="0.2">
      <c r="A38">
        <v>169.99874498044699</v>
      </c>
      <c r="B38">
        <v>509.16544288102102</v>
      </c>
      <c r="C38">
        <v>364.55879264313802</v>
      </c>
    </row>
    <row r="39" spans="1:3" x14ac:dyDescent="0.2">
      <c r="A39">
        <v>63.7329530062553</v>
      </c>
      <c r="B39">
        <v>77.731196516284797</v>
      </c>
      <c r="C39">
        <v>339.55509264476598</v>
      </c>
    </row>
    <row r="40" spans="1:3" x14ac:dyDescent="0.2">
      <c r="A40">
        <v>69.796595604249106</v>
      </c>
      <c r="B40">
        <v>159.85615109088101</v>
      </c>
      <c r="C40">
        <v>59.297208497720199</v>
      </c>
    </row>
    <row r="41" spans="1:3" x14ac:dyDescent="0.2">
      <c r="A41">
        <v>86.336201928859097</v>
      </c>
      <c r="B41">
        <v>273.225757862828</v>
      </c>
      <c r="C41">
        <v>196.75051696283001</v>
      </c>
    </row>
    <row r="42" spans="1:3" x14ac:dyDescent="0.2">
      <c r="A42">
        <v>286.336201928859</v>
      </c>
      <c r="B42">
        <v>99.975867437056195</v>
      </c>
      <c r="C42">
        <v>165.77115596452199</v>
      </c>
    </row>
    <row r="43" spans="1:3" x14ac:dyDescent="0.2">
      <c r="A43">
        <v>86.336201928859097</v>
      </c>
      <c r="B43">
        <v>203.687267162929</v>
      </c>
      <c r="C43">
        <v>112.90830612357701</v>
      </c>
    </row>
    <row r="44" spans="1:3" x14ac:dyDescent="0.2">
      <c r="A44">
        <v>266.46649583709097</v>
      </c>
      <c r="B44">
        <v>289.32589238755799</v>
      </c>
      <c r="C44">
        <v>368.020601831112</v>
      </c>
    </row>
    <row r="45" spans="1:3" x14ac:dyDescent="0.2">
      <c r="A45">
        <v>325.46072235026901</v>
      </c>
      <c r="B45">
        <v>69.964453411920701</v>
      </c>
      <c r="C45">
        <v>59.793343247669497</v>
      </c>
    </row>
    <row r="46" spans="1:3" x14ac:dyDescent="0.2">
      <c r="A46">
        <v>125.46072235026899</v>
      </c>
      <c r="B46">
        <v>284.40660858693701</v>
      </c>
      <c r="C46">
        <v>160.144600380258</v>
      </c>
    </row>
    <row r="47" spans="1:3" x14ac:dyDescent="0.2">
      <c r="A47">
        <v>170.51397227501701</v>
      </c>
      <c r="B47">
        <v>64.190564382060998</v>
      </c>
      <c r="C47">
        <v>295.73761163387599</v>
      </c>
    </row>
    <row r="48" spans="1:3" x14ac:dyDescent="0.2">
      <c r="A48">
        <v>59.352491284997001</v>
      </c>
      <c r="B48">
        <v>256.97352240683801</v>
      </c>
      <c r="C48">
        <v>63.878715971864303</v>
      </c>
    </row>
    <row r="49" spans="1:3" x14ac:dyDescent="0.2">
      <c r="A49">
        <v>259.35249128499697</v>
      </c>
      <c r="B49">
        <v>147.90232986599599</v>
      </c>
      <c r="C49">
        <v>67.492292255695105</v>
      </c>
    </row>
    <row r="50" spans="1:3" x14ac:dyDescent="0.2">
      <c r="A50">
        <v>311.865076554962</v>
      </c>
      <c r="B50">
        <v>273.187186445073</v>
      </c>
      <c r="C50">
        <v>75.829413614546993</v>
      </c>
    </row>
    <row r="51" spans="1:3" x14ac:dyDescent="0.2">
      <c r="A51">
        <v>129.78664624136499</v>
      </c>
      <c r="B51">
        <v>353.24936750401702</v>
      </c>
      <c r="C51">
        <v>411.97392566213898</v>
      </c>
    </row>
    <row r="52" spans="1:3" x14ac:dyDescent="0.2">
      <c r="A52">
        <v>329.78664624136599</v>
      </c>
      <c r="B52">
        <v>305.65037408816698</v>
      </c>
      <c r="C52">
        <v>505.06869071478502</v>
      </c>
    </row>
    <row r="53" spans="1:3" x14ac:dyDescent="0.2">
      <c r="A53">
        <v>129.78664624136499</v>
      </c>
      <c r="B53">
        <v>59.666706042714701</v>
      </c>
      <c r="C53">
        <v>367.65739551864999</v>
      </c>
    </row>
    <row r="54" spans="1:3" x14ac:dyDescent="0.2">
      <c r="A54">
        <v>59.033182960393297</v>
      </c>
      <c r="B54">
        <v>97.522984502413493</v>
      </c>
      <c r="C54">
        <v>186.046460904382</v>
      </c>
    </row>
    <row r="55" spans="1:3" x14ac:dyDescent="0.2">
      <c r="A55">
        <v>259.03318296039299</v>
      </c>
      <c r="B55">
        <v>240.04795461481999</v>
      </c>
      <c r="C55">
        <v>236.57704814087799</v>
      </c>
    </row>
    <row r="56" spans="1:3" x14ac:dyDescent="0.2">
      <c r="A56">
        <v>125.034580988176</v>
      </c>
      <c r="B56">
        <v>198.53208366411999</v>
      </c>
      <c r="C56">
        <v>127.250101587597</v>
      </c>
    </row>
    <row r="57" spans="1:3" x14ac:dyDescent="0.2">
      <c r="A57">
        <v>78.992120288412593</v>
      </c>
      <c r="B57">
        <v>201.183932071002</v>
      </c>
      <c r="C57">
        <v>264.23034891140099</v>
      </c>
    </row>
    <row r="58" spans="1:3" x14ac:dyDescent="0.2">
      <c r="A58">
        <v>278.99212028841299</v>
      </c>
      <c r="B58">
        <v>59.1484574627017</v>
      </c>
      <c r="C58">
        <v>526.42543123438304</v>
      </c>
    </row>
    <row r="59" spans="1:3" x14ac:dyDescent="0.2">
      <c r="A59">
        <v>78.992120288412707</v>
      </c>
      <c r="B59">
        <v>88.853442445470805</v>
      </c>
      <c r="C59">
        <v>131.43793690031401</v>
      </c>
    </row>
    <row r="60" spans="1:3" x14ac:dyDescent="0.2">
      <c r="A60">
        <v>106.304416336096</v>
      </c>
      <c r="B60">
        <v>260.88427847543699</v>
      </c>
      <c r="C60">
        <v>314.91820367610097</v>
      </c>
    </row>
    <row r="61" spans="1:3" x14ac:dyDescent="0.2">
      <c r="A61">
        <v>306.30441633609598</v>
      </c>
      <c r="B61">
        <v>300.297223855325</v>
      </c>
      <c r="C61">
        <v>270.29129073031902</v>
      </c>
    </row>
    <row r="62" spans="1:3" x14ac:dyDescent="0.2">
      <c r="A62">
        <v>410.72571691212602</v>
      </c>
      <c r="B62">
        <v>427.99066451609298</v>
      </c>
      <c r="C62">
        <v>391.62161308883702</v>
      </c>
    </row>
    <row r="63" spans="1:3" x14ac:dyDescent="0.2">
      <c r="A63">
        <v>277.56777620992301</v>
      </c>
      <c r="B63">
        <v>62.692397860689901</v>
      </c>
      <c r="C63">
        <v>225.847452469487</v>
      </c>
    </row>
    <row r="64" spans="1:3" x14ac:dyDescent="0.2">
      <c r="A64">
        <v>77.567776209922897</v>
      </c>
      <c r="B64">
        <v>117.61098480096101</v>
      </c>
      <c r="C64">
        <v>72.294891384166306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55DA-A59B-41BF-B94C-C001A049EF8A}">
  <dimension ref="A1:M64"/>
  <sheetViews>
    <sheetView topLeftCell="A5" workbookViewId="0">
      <selection activeCell="C64" sqref="C64"/>
    </sheetView>
  </sheetViews>
  <sheetFormatPr defaultRowHeight="14.25" x14ac:dyDescent="0.2"/>
  <cols>
    <col min="5" max="5" width="9" style="1"/>
  </cols>
  <sheetData>
    <row r="1" spans="1:13" x14ac:dyDescent="0.2">
      <c r="A1">
        <v>84</v>
      </c>
      <c r="B1" s="1">
        <f>A1*0.38</f>
        <v>31.92</v>
      </c>
      <c r="C1" s="1">
        <f>A1*0.69</f>
        <v>57.959999999999994</v>
      </c>
      <c r="D1" s="1">
        <f>A1*0.95</f>
        <v>79.8</v>
      </c>
      <c r="E1" s="1">
        <f>A1*1.97</f>
        <v>165.48</v>
      </c>
      <c r="H1">
        <v>1003</v>
      </c>
      <c r="I1">
        <v>1</v>
      </c>
      <c r="J1">
        <v>84</v>
      </c>
      <c r="K1" s="1">
        <f>J1*0.38</f>
        <v>31.92</v>
      </c>
      <c r="L1" s="1">
        <f>J1*0.69</f>
        <v>57.959999999999994</v>
      </c>
      <c r="M1" s="1">
        <f>J1*0.95</f>
        <v>79.8</v>
      </c>
    </row>
    <row r="2" spans="1:13" x14ac:dyDescent="0.2">
      <c r="A2">
        <v>110</v>
      </c>
      <c r="B2" s="1">
        <f t="shared" ref="B2:B64" si="0">A2*0.38</f>
        <v>41.8</v>
      </c>
      <c r="C2" s="1">
        <f t="shared" ref="C2:C64" si="1">A2*0.69</f>
        <v>75.899999999999991</v>
      </c>
      <c r="D2" s="1">
        <f t="shared" ref="D2:D64" si="2">A2*0.95</f>
        <v>104.5</v>
      </c>
      <c r="E2" s="1">
        <f t="shared" ref="E2:E64" si="3">A2*1.97</f>
        <v>216.7</v>
      </c>
      <c r="H2">
        <v>1003</v>
      </c>
      <c r="I2">
        <v>2</v>
      </c>
      <c r="J2">
        <v>110</v>
      </c>
      <c r="K2" s="1">
        <f t="shared" ref="K2:K64" si="4">J2*0.38</f>
        <v>41.8</v>
      </c>
      <c r="L2" s="1">
        <f t="shared" ref="L2:L64" si="5">J2*0.69</f>
        <v>75.899999999999991</v>
      </c>
      <c r="M2" s="1">
        <f t="shared" ref="M2:M64" si="6">J2*0.95</f>
        <v>104.5</v>
      </c>
    </row>
    <row r="3" spans="1:13" x14ac:dyDescent="0.2">
      <c r="A3">
        <v>137</v>
      </c>
      <c r="B3" s="1">
        <f t="shared" si="0"/>
        <v>52.06</v>
      </c>
      <c r="C3" s="1">
        <f t="shared" si="1"/>
        <v>94.529999999999987</v>
      </c>
      <c r="D3" s="1">
        <f t="shared" si="2"/>
        <v>130.15</v>
      </c>
      <c r="E3" s="1">
        <f t="shared" si="3"/>
        <v>269.89</v>
      </c>
      <c r="H3">
        <v>1003</v>
      </c>
      <c r="I3">
        <v>3</v>
      </c>
      <c r="J3">
        <v>137</v>
      </c>
      <c r="K3" s="1">
        <f t="shared" si="4"/>
        <v>52.06</v>
      </c>
      <c r="L3" s="1">
        <f t="shared" si="5"/>
        <v>94.529999999999987</v>
      </c>
      <c r="M3" s="1">
        <f t="shared" si="6"/>
        <v>130.15</v>
      </c>
    </row>
    <row r="4" spans="1:13" x14ac:dyDescent="0.2">
      <c r="A4">
        <v>65</v>
      </c>
      <c r="B4" s="1">
        <f t="shared" si="0"/>
        <v>24.7</v>
      </c>
      <c r="C4" s="1">
        <f t="shared" si="1"/>
        <v>44.849999999999994</v>
      </c>
      <c r="D4" s="1">
        <f t="shared" si="2"/>
        <v>61.75</v>
      </c>
      <c r="E4" s="1">
        <f t="shared" si="3"/>
        <v>128.05000000000001</v>
      </c>
      <c r="H4">
        <v>1003</v>
      </c>
      <c r="I4">
        <v>4</v>
      </c>
      <c r="J4">
        <v>65</v>
      </c>
      <c r="K4" s="1">
        <f t="shared" si="4"/>
        <v>24.7</v>
      </c>
      <c r="L4" s="1">
        <f t="shared" si="5"/>
        <v>44.849999999999994</v>
      </c>
      <c r="M4" s="1">
        <f t="shared" si="6"/>
        <v>61.75</v>
      </c>
    </row>
    <row r="5" spans="1:13" x14ac:dyDescent="0.2">
      <c r="A5">
        <v>58</v>
      </c>
      <c r="B5" s="1">
        <f t="shared" si="0"/>
        <v>22.04</v>
      </c>
      <c r="C5" s="1">
        <f t="shared" si="1"/>
        <v>40.019999999999996</v>
      </c>
      <c r="D5" s="1">
        <f t="shared" si="2"/>
        <v>55.099999999999994</v>
      </c>
      <c r="E5" s="1">
        <f t="shared" si="3"/>
        <v>114.26</v>
      </c>
      <c r="H5">
        <v>1003</v>
      </c>
      <c r="I5">
        <v>5</v>
      </c>
      <c r="J5">
        <v>58</v>
      </c>
      <c r="K5" s="1">
        <f t="shared" si="4"/>
        <v>22.04</v>
      </c>
      <c r="L5" s="1">
        <f t="shared" si="5"/>
        <v>40.019999999999996</v>
      </c>
      <c r="M5" s="1">
        <f t="shared" si="6"/>
        <v>55.099999999999994</v>
      </c>
    </row>
    <row r="6" spans="1:13" x14ac:dyDescent="0.2">
      <c r="A6">
        <v>61</v>
      </c>
      <c r="B6" s="1">
        <f t="shared" si="0"/>
        <v>23.18</v>
      </c>
      <c r="C6" s="1">
        <f t="shared" si="1"/>
        <v>42.089999999999996</v>
      </c>
      <c r="D6" s="1">
        <f t="shared" si="2"/>
        <v>57.949999999999996</v>
      </c>
      <c r="E6" s="1">
        <f t="shared" si="3"/>
        <v>120.17</v>
      </c>
      <c r="H6">
        <v>1003</v>
      </c>
      <c r="I6">
        <v>6</v>
      </c>
      <c r="J6">
        <v>61</v>
      </c>
      <c r="K6" s="1">
        <f t="shared" si="4"/>
        <v>23.18</v>
      </c>
      <c r="L6" s="1">
        <f t="shared" si="5"/>
        <v>42.089999999999996</v>
      </c>
      <c r="M6" s="1">
        <f t="shared" si="6"/>
        <v>57.949999999999996</v>
      </c>
    </row>
    <row r="7" spans="1:13" x14ac:dyDescent="0.2">
      <c r="A7">
        <v>105</v>
      </c>
      <c r="B7" s="1">
        <f t="shared" si="0"/>
        <v>39.9</v>
      </c>
      <c r="C7" s="1">
        <f t="shared" si="1"/>
        <v>72.449999999999989</v>
      </c>
      <c r="D7" s="1">
        <f t="shared" si="2"/>
        <v>99.75</v>
      </c>
      <c r="E7" s="1">
        <f t="shared" si="3"/>
        <v>206.85</v>
      </c>
      <c r="H7">
        <v>1003</v>
      </c>
      <c r="I7">
        <v>7</v>
      </c>
      <c r="J7">
        <v>105</v>
      </c>
      <c r="K7" s="1">
        <f t="shared" si="4"/>
        <v>39.9</v>
      </c>
      <c r="L7" s="1">
        <f t="shared" si="5"/>
        <v>72.449999999999989</v>
      </c>
      <c r="M7" s="1">
        <f t="shared" si="6"/>
        <v>99.75</v>
      </c>
    </row>
    <row r="8" spans="1:13" x14ac:dyDescent="0.2">
      <c r="A8">
        <v>209</v>
      </c>
      <c r="B8" s="1">
        <f t="shared" si="0"/>
        <v>79.42</v>
      </c>
      <c r="C8" s="1">
        <f t="shared" si="1"/>
        <v>144.20999999999998</v>
      </c>
      <c r="D8" s="1">
        <f t="shared" si="2"/>
        <v>198.54999999999998</v>
      </c>
      <c r="E8" s="1">
        <f t="shared" si="3"/>
        <v>411.73</v>
      </c>
      <c r="H8">
        <v>1003</v>
      </c>
      <c r="I8">
        <v>8</v>
      </c>
      <c r="J8">
        <v>209</v>
      </c>
      <c r="K8" s="1">
        <f t="shared" si="4"/>
        <v>79.42</v>
      </c>
      <c r="L8" s="1">
        <f t="shared" si="5"/>
        <v>144.20999999999998</v>
      </c>
      <c r="M8" s="1">
        <f t="shared" si="6"/>
        <v>198.54999999999998</v>
      </c>
    </row>
    <row r="9" spans="1:13" x14ac:dyDescent="0.2">
      <c r="A9">
        <v>439</v>
      </c>
      <c r="B9" s="1">
        <f t="shared" si="0"/>
        <v>166.82</v>
      </c>
      <c r="C9" s="1">
        <f t="shared" si="1"/>
        <v>302.90999999999997</v>
      </c>
      <c r="D9" s="1">
        <f t="shared" si="2"/>
        <v>417.04999999999995</v>
      </c>
      <c r="E9" s="1">
        <f t="shared" si="3"/>
        <v>864.83</v>
      </c>
      <c r="H9">
        <v>1003</v>
      </c>
      <c r="I9">
        <v>9</v>
      </c>
      <c r="J9">
        <v>439</v>
      </c>
      <c r="K9" s="1">
        <f t="shared" si="4"/>
        <v>166.82</v>
      </c>
      <c r="L9" s="1">
        <f t="shared" si="5"/>
        <v>302.90999999999997</v>
      </c>
      <c r="M9" s="1">
        <f t="shared" si="6"/>
        <v>417.04999999999995</v>
      </c>
    </row>
    <row r="10" spans="1:13" x14ac:dyDescent="0.2">
      <c r="A10">
        <v>509</v>
      </c>
      <c r="B10" s="1">
        <f t="shared" si="0"/>
        <v>193.42000000000002</v>
      </c>
      <c r="C10" s="1">
        <f t="shared" si="1"/>
        <v>351.21</v>
      </c>
      <c r="D10" s="1">
        <f t="shared" si="2"/>
        <v>483.54999999999995</v>
      </c>
      <c r="E10" s="1">
        <f t="shared" si="3"/>
        <v>1002.73</v>
      </c>
      <c r="H10">
        <v>1003</v>
      </c>
      <c r="I10">
        <v>10</v>
      </c>
      <c r="J10">
        <v>509</v>
      </c>
      <c r="K10" s="1">
        <f t="shared" si="4"/>
        <v>193.42000000000002</v>
      </c>
      <c r="L10" s="1">
        <f t="shared" si="5"/>
        <v>351.21</v>
      </c>
      <c r="M10" s="1">
        <f t="shared" si="6"/>
        <v>483.54999999999995</v>
      </c>
    </row>
    <row r="11" spans="1:13" x14ac:dyDescent="0.2">
      <c r="A11">
        <v>380</v>
      </c>
      <c r="B11" s="1">
        <f t="shared" si="0"/>
        <v>144.4</v>
      </c>
      <c r="C11" s="1">
        <f t="shared" si="1"/>
        <v>262.2</v>
      </c>
      <c r="D11" s="1">
        <f t="shared" si="2"/>
        <v>361</v>
      </c>
      <c r="E11" s="1">
        <f t="shared" si="3"/>
        <v>748.6</v>
      </c>
      <c r="H11">
        <v>1003</v>
      </c>
      <c r="I11">
        <v>11</v>
      </c>
      <c r="J11">
        <v>380</v>
      </c>
      <c r="K11" s="1">
        <f t="shared" si="4"/>
        <v>144.4</v>
      </c>
      <c r="L11" s="1">
        <f t="shared" si="5"/>
        <v>262.2</v>
      </c>
      <c r="M11" s="1">
        <f t="shared" si="6"/>
        <v>361</v>
      </c>
    </row>
    <row r="12" spans="1:13" x14ac:dyDescent="0.2">
      <c r="A12">
        <v>347</v>
      </c>
      <c r="B12" s="1">
        <f t="shared" si="0"/>
        <v>131.86000000000001</v>
      </c>
      <c r="C12" s="1">
        <f t="shared" si="1"/>
        <v>239.42999999999998</v>
      </c>
      <c r="D12" s="1">
        <f t="shared" si="2"/>
        <v>329.65</v>
      </c>
      <c r="E12" s="1">
        <f t="shared" si="3"/>
        <v>683.59</v>
      </c>
      <c r="H12">
        <v>1003</v>
      </c>
      <c r="I12">
        <v>12</v>
      </c>
      <c r="J12">
        <v>347</v>
      </c>
      <c r="K12" s="1">
        <f t="shared" si="4"/>
        <v>131.86000000000001</v>
      </c>
      <c r="L12" s="1">
        <f t="shared" si="5"/>
        <v>239.42999999999998</v>
      </c>
      <c r="M12" s="1">
        <f t="shared" si="6"/>
        <v>329.65</v>
      </c>
    </row>
    <row r="13" spans="1:13" x14ac:dyDescent="0.2">
      <c r="A13">
        <v>430</v>
      </c>
      <c r="B13" s="1">
        <f t="shared" si="0"/>
        <v>163.4</v>
      </c>
      <c r="C13" s="1">
        <f t="shared" si="1"/>
        <v>296.7</v>
      </c>
      <c r="D13" s="1">
        <f t="shared" si="2"/>
        <v>408.5</v>
      </c>
      <c r="E13" s="1">
        <f t="shared" si="3"/>
        <v>847.1</v>
      </c>
      <c r="H13">
        <v>1003</v>
      </c>
      <c r="I13">
        <v>13</v>
      </c>
      <c r="J13">
        <v>430</v>
      </c>
      <c r="K13" s="1">
        <f t="shared" si="4"/>
        <v>163.4</v>
      </c>
      <c r="L13" s="1">
        <f t="shared" si="5"/>
        <v>296.7</v>
      </c>
      <c r="M13" s="1">
        <f t="shared" si="6"/>
        <v>408.5</v>
      </c>
    </row>
    <row r="14" spans="1:13" x14ac:dyDescent="0.2">
      <c r="A14">
        <v>499</v>
      </c>
      <c r="B14" s="1">
        <f t="shared" si="0"/>
        <v>189.62</v>
      </c>
      <c r="C14" s="1">
        <f t="shared" si="1"/>
        <v>344.30999999999995</v>
      </c>
      <c r="D14" s="1">
        <f t="shared" si="2"/>
        <v>474.04999999999995</v>
      </c>
      <c r="E14" s="1">
        <f t="shared" si="3"/>
        <v>983.03</v>
      </c>
      <c r="H14">
        <v>1003</v>
      </c>
      <c r="I14">
        <v>14</v>
      </c>
      <c r="J14">
        <v>499</v>
      </c>
      <c r="K14" s="1">
        <f t="shared" si="4"/>
        <v>189.62</v>
      </c>
      <c r="L14" s="1">
        <f t="shared" si="5"/>
        <v>344.30999999999995</v>
      </c>
      <c r="M14" s="1">
        <f t="shared" si="6"/>
        <v>474.04999999999995</v>
      </c>
    </row>
    <row r="15" spans="1:13" x14ac:dyDescent="0.2">
      <c r="A15">
        <v>471</v>
      </c>
      <c r="B15" s="1">
        <f t="shared" si="0"/>
        <v>178.98</v>
      </c>
      <c r="C15" s="1">
        <f t="shared" si="1"/>
        <v>324.98999999999995</v>
      </c>
      <c r="D15" s="1">
        <f t="shared" si="2"/>
        <v>447.45</v>
      </c>
      <c r="E15" s="1">
        <f t="shared" si="3"/>
        <v>927.87</v>
      </c>
      <c r="H15">
        <v>1003</v>
      </c>
      <c r="I15">
        <v>15</v>
      </c>
      <c r="J15">
        <v>471</v>
      </c>
      <c r="K15" s="1">
        <f t="shared" si="4"/>
        <v>178.98</v>
      </c>
      <c r="L15" s="1">
        <f t="shared" si="5"/>
        <v>324.98999999999995</v>
      </c>
      <c r="M15" s="1">
        <f t="shared" si="6"/>
        <v>447.45</v>
      </c>
    </row>
    <row r="16" spans="1:13" x14ac:dyDescent="0.2">
      <c r="A16">
        <v>417</v>
      </c>
      <c r="B16" s="1">
        <f t="shared" si="0"/>
        <v>158.46</v>
      </c>
      <c r="C16" s="1">
        <f t="shared" si="1"/>
        <v>287.72999999999996</v>
      </c>
      <c r="D16" s="1">
        <f t="shared" si="2"/>
        <v>396.15</v>
      </c>
      <c r="E16" s="1">
        <f t="shared" si="3"/>
        <v>821.49</v>
      </c>
      <c r="H16">
        <v>1003</v>
      </c>
      <c r="I16">
        <v>16</v>
      </c>
      <c r="J16">
        <v>417</v>
      </c>
      <c r="K16" s="1">
        <f t="shared" si="4"/>
        <v>158.46</v>
      </c>
      <c r="L16" s="1">
        <f t="shared" si="5"/>
        <v>287.72999999999996</v>
      </c>
      <c r="M16" s="1">
        <f t="shared" si="6"/>
        <v>396.15</v>
      </c>
    </row>
    <row r="17" spans="1:13" x14ac:dyDescent="0.2">
      <c r="A17">
        <v>337</v>
      </c>
      <c r="B17" s="1">
        <f t="shared" si="0"/>
        <v>128.06</v>
      </c>
      <c r="C17" s="1">
        <f t="shared" si="1"/>
        <v>232.52999999999997</v>
      </c>
      <c r="D17" s="1">
        <f t="shared" si="2"/>
        <v>320.14999999999998</v>
      </c>
      <c r="E17" s="1">
        <f t="shared" si="3"/>
        <v>663.89</v>
      </c>
      <c r="H17">
        <v>1003</v>
      </c>
      <c r="I17">
        <v>17</v>
      </c>
      <c r="J17">
        <v>337</v>
      </c>
      <c r="K17" s="1">
        <f t="shared" si="4"/>
        <v>128.06</v>
      </c>
      <c r="L17" s="1">
        <f t="shared" si="5"/>
        <v>232.52999999999997</v>
      </c>
      <c r="M17" s="1">
        <f t="shared" si="6"/>
        <v>320.14999999999998</v>
      </c>
    </row>
    <row r="18" spans="1:13" x14ac:dyDescent="0.2">
      <c r="A18">
        <v>381</v>
      </c>
      <c r="B18" s="1">
        <f t="shared" si="0"/>
        <v>144.78</v>
      </c>
      <c r="C18" s="1">
        <f t="shared" si="1"/>
        <v>262.89</v>
      </c>
      <c r="D18" s="1">
        <f t="shared" si="2"/>
        <v>361.95</v>
      </c>
      <c r="E18" s="1">
        <f t="shared" si="3"/>
        <v>750.56999999999994</v>
      </c>
      <c r="H18">
        <v>1003</v>
      </c>
      <c r="I18">
        <v>18</v>
      </c>
      <c r="J18">
        <v>381</v>
      </c>
      <c r="K18" s="1">
        <f t="shared" si="4"/>
        <v>144.78</v>
      </c>
      <c r="L18" s="1">
        <f t="shared" si="5"/>
        <v>262.89</v>
      </c>
      <c r="M18" s="1">
        <f t="shared" si="6"/>
        <v>361.95</v>
      </c>
    </row>
    <row r="19" spans="1:13" x14ac:dyDescent="0.2">
      <c r="A19">
        <v>759</v>
      </c>
      <c r="B19" s="1">
        <f t="shared" si="0"/>
        <v>288.42</v>
      </c>
      <c r="C19" s="1">
        <f t="shared" si="1"/>
        <v>523.70999999999992</v>
      </c>
      <c r="D19" s="1">
        <f t="shared" si="2"/>
        <v>721.05</v>
      </c>
      <c r="E19" s="1">
        <f t="shared" si="3"/>
        <v>1495.23</v>
      </c>
      <c r="H19">
        <v>1003</v>
      </c>
      <c r="I19">
        <v>19</v>
      </c>
      <c r="J19">
        <v>759</v>
      </c>
      <c r="K19" s="1">
        <f t="shared" si="4"/>
        <v>288.42</v>
      </c>
      <c r="L19" s="1">
        <f t="shared" si="5"/>
        <v>523.70999999999992</v>
      </c>
      <c r="M19" s="1">
        <f t="shared" si="6"/>
        <v>721.05</v>
      </c>
    </row>
    <row r="20" spans="1:13" x14ac:dyDescent="0.2">
      <c r="A20">
        <v>931</v>
      </c>
      <c r="B20" s="1">
        <f t="shared" si="0"/>
        <v>353.78000000000003</v>
      </c>
      <c r="C20" s="1">
        <f t="shared" si="1"/>
        <v>642.39</v>
      </c>
      <c r="D20" s="1">
        <f t="shared" si="2"/>
        <v>884.44999999999993</v>
      </c>
      <c r="E20" s="1">
        <f t="shared" si="3"/>
        <v>1834.07</v>
      </c>
      <c r="H20">
        <v>1003</v>
      </c>
      <c r="I20">
        <v>20</v>
      </c>
      <c r="J20">
        <v>931</v>
      </c>
      <c r="K20" s="1">
        <f t="shared" si="4"/>
        <v>353.78000000000003</v>
      </c>
      <c r="L20" s="1">
        <f t="shared" si="5"/>
        <v>642.39</v>
      </c>
      <c r="M20" s="1">
        <f t="shared" si="6"/>
        <v>884.44999999999993</v>
      </c>
    </row>
    <row r="21" spans="1:13" x14ac:dyDescent="0.2">
      <c r="A21">
        <v>766</v>
      </c>
      <c r="B21" s="1">
        <f t="shared" si="0"/>
        <v>291.08</v>
      </c>
      <c r="C21" s="1">
        <f t="shared" si="1"/>
        <v>528.54</v>
      </c>
      <c r="D21" s="1">
        <f t="shared" si="2"/>
        <v>727.69999999999993</v>
      </c>
      <c r="E21" s="1">
        <f t="shared" si="3"/>
        <v>1509.02</v>
      </c>
      <c r="H21">
        <v>1003</v>
      </c>
      <c r="I21">
        <v>21</v>
      </c>
      <c r="J21">
        <v>766</v>
      </c>
      <c r="K21" s="1">
        <f t="shared" si="4"/>
        <v>291.08</v>
      </c>
      <c r="L21" s="1">
        <f t="shared" si="5"/>
        <v>528.54</v>
      </c>
      <c r="M21" s="1">
        <f t="shared" si="6"/>
        <v>727.69999999999993</v>
      </c>
    </row>
    <row r="22" spans="1:13" x14ac:dyDescent="0.2">
      <c r="A22">
        <v>300</v>
      </c>
      <c r="B22" s="1">
        <f t="shared" si="0"/>
        <v>114</v>
      </c>
      <c r="C22" s="1">
        <f t="shared" si="1"/>
        <v>206.99999999999997</v>
      </c>
      <c r="D22" s="1">
        <f t="shared" si="2"/>
        <v>285</v>
      </c>
      <c r="E22" s="1">
        <f t="shared" si="3"/>
        <v>591</v>
      </c>
      <c r="H22">
        <v>1003</v>
      </c>
      <c r="I22">
        <v>22</v>
      </c>
      <c r="J22">
        <v>300</v>
      </c>
      <c r="K22" s="1">
        <f t="shared" si="4"/>
        <v>114</v>
      </c>
      <c r="L22" s="1">
        <f t="shared" si="5"/>
        <v>206.99999999999997</v>
      </c>
      <c r="M22" s="1">
        <f t="shared" si="6"/>
        <v>285</v>
      </c>
    </row>
    <row r="23" spans="1:13" x14ac:dyDescent="0.2">
      <c r="A23">
        <v>940</v>
      </c>
      <c r="B23" s="1">
        <f t="shared" si="0"/>
        <v>357.2</v>
      </c>
      <c r="C23" s="1">
        <f t="shared" si="1"/>
        <v>648.59999999999991</v>
      </c>
      <c r="D23" s="1">
        <f t="shared" si="2"/>
        <v>893</v>
      </c>
      <c r="E23" s="1">
        <f t="shared" si="3"/>
        <v>1851.8</v>
      </c>
      <c r="H23">
        <v>1003</v>
      </c>
      <c r="I23">
        <v>23</v>
      </c>
      <c r="J23">
        <v>940</v>
      </c>
      <c r="K23" s="1">
        <f t="shared" si="4"/>
        <v>357.2</v>
      </c>
      <c r="L23" s="1">
        <f t="shared" si="5"/>
        <v>648.59999999999991</v>
      </c>
      <c r="M23" s="1">
        <f t="shared" si="6"/>
        <v>893</v>
      </c>
    </row>
    <row r="24" spans="1:13" x14ac:dyDescent="0.2">
      <c r="A24">
        <v>1594</v>
      </c>
      <c r="B24" s="1">
        <f t="shared" si="0"/>
        <v>605.72</v>
      </c>
      <c r="C24" s="1">
        <f t="shared" si="1"/>
        <v>1099.8599999999999</v>
      </c>
      <c r="D24" s="1">
        <f t="shared" si="2"/>
        <v>1514.3</v>
      </c>
      <c r="E24" s="1">
        <f t="shared" si="3"/>
        <v>3140.18</v>
      </c>
      <c r="H24">
        <v>1003</v>
      </c>
      <c r="I24">
        <v>24</v>
      </c>
      <c r="J24">
        <v>1594</v>
      </c>
      <c r="K24" s="1">
        <f t="shared" si="4"/>
        <v>605.72</v>
      </c>
      <c r="L24" s="1">
        <f t="shared" si="5"/>
        <v>1099.8599999999999</v>
      </c>
      <c r="M24" s="1">
        <f t="shared" si="6"/>
        <v>1514.3</v>
      </c>
    </row>
    <row r="25" spans="1:13" x14ac:dyDescent="0.2">
      <c r="A25">
        <v>2939</v>
      </c>
      <c r="B25" s="1">
        <f t="shared" si="0"/>
        <v>1116.82</v>
      </c>
      <c r="C25" s="1">
        <f t="shared" si="1"/>
        <v>2027.9099999999999</v>
      </c>
      <c r="D25" s="1">
        <f t="shared" si="2"/>
        <v>2792.0499999999997</v>
      </c>
      <c r="E25" s="1">
        <f t="shared" si="3"/>
        <v>5789.83</v>
      </c>
      <c r="H25">
        <v>1003</v>
      </c>
      <c r="I25">
        <v>25</v>
      </c>
      <c r="J25">
        <v>2939</v>
      </c>
      <c r="K25" s="1">
        <f t="shared" si="4"/>
        <v>1116.82</v>
      </c>
      <c r="L25" s="1">
        <f t="shared" si="5"/>
        <v>2027.9099999999999</v>
      </c>
      <c r="M25" s="1">
        <f t="shared" si="6"/>
        <v>2792.0499999999997</v>
      </c>
    </row>
    <row r="26" spans="1:13" x14ac:dyDescent="0.2">
      <c r="A26">
        <v>4250</v>
      </c>
      <c r="B26" s="1">
        <f t="shared" si="0"/>
        <v>1615</v>
      </c>
      <c r="C26" s="1">
        <f t="shared" si="1"/>
        <v>2932.5</v>
      </c>
      <c r="D26" s="1">
        <f t="shared" si="2"/>
        <v>4037.5</v>
      </c>
      <c r="E26" s="1">
        <f t="shared" si="3"/>
        <v>8372.5</v>
      </c>
      <c r="H26">
        <v>1003</v>
      </c>
      <c r="I26">
        <v>26</v>
      </c>
      <c r="J26">
        <v>4250</v>
      </c>
      <c r="K26" s="1">
        <f t="shared" si="4"/>
        <v>1615</v>
      </c>
      <c r="L26" s="1">
        <f t="shared" si="5"/>
        <v>2932.5</v>
      </c>
      <c r="M26" s="1">
        <f t="shared" si="6"/>
        <v>4037.5</v>
      </c>
    </row>
    <row r="27" spans="1:13" x14ac:dyDescent="0.2">
      <c r="A27">
        <v>1620</v>
      </c>
      <c r="B27" s="1">
        <f t="shared" si="0"/>
        <v>615.6</v>
      </c>
      <c r="C27" s="1">
        <f t="shared" si="1"/>
        <v>1117.8</v>
      </c>
      <c r="D27" s="1">
        <f t="shared" si="2"/>
        <v>1539</v>
      </c>
      <c r="E27" s="1">
        <f t="shared" si="3"/>
        <v>3191.4</v>
      </c>
      <c r="H27">
        <v>1003</v>
      </c>
      <c r="I27">
        <v>27</v>
      </c>
      <c r="J27">
        <v>1620</v>
      </c>
      <c r="K27" s="1">
        <f t="shared" si="4"/>
        <v>615.6</v>
      </c>
      <c r="L27" s="1">
        <f t="shared" si="5"/>
        <v>1117.8</v>
      </c>
      <c r="M27" s="1">
        <f t="shared" si="6"/>
        <v>1539</v>
      </c>
    </row>
    <row r="28" spans="1:13" x14ac:dyDescent="0.2">
      <c r="A28">
        <v>1472</v>
      </c>
      <c r="B28" s="1">
        <f t="shared" si="0"/>
        <v>559.36</v>
      </c>
      <c r="C28" s="1">
        <f t="shared" si="1"/>
        <v>1015.68</v>
      </c>
      <c r="D28" s="1">
        <f t="shared" si="2"/>
        <v>1398.3999999999999</v>
      </c>
      <c r="E28" s="1">
        <f t="shared" si="3"/>
        <v>2899.84</v>
      </c>
      <c r="H28">
        <v>1003</v>
      </c>
      <c r="I28">
        <v>28</v>
      </c>
      <c r="J28">
        <v>1472</v>
      </c>
      <c r="K28" s="1">
        <f t="shared" si="4"/>
        <v>559.36</v>
      </c>
      <c r="L28" s="1">
        <f t="shared" si="5"/>
        <v>1015.68</v>
      </c>
      <c r="M28" s="1">
        <f t="shared" si="6"/>
        <v>1398.3999999999999</v>
      </c>
    </row>
    <row r="29" spans="1:13" x14ac:dyDescent="0.2">
      <c r="A29">
        <v>1174</v>
      </c>
      <c r="B29" s="1">
        <f t="shared" si="0"/>
        <v>446.12</v>
      </c>
      <c r="C29" s="1">
        <f t="shared" si="1"/>
        <v>810.06</v>
      </c>
      <c r="D29" s="1">
        <f t="shared" si="2"/>
        <v>1115.3</v>
      </c>
      <c r="E29" s="1">
        <f t="shared" si="3"/>
        <v>2312.7799999999997</v>
      </c>
      <c r="H29">
        <v>1003</v>
      </c>
      <c r="I29">
        <v>29</v>
      </c>
      <c r="J29">
        <v>1174</v>
      </c>
      <c r="K29" s="1">
        <f t="shared" si="4"/>
        <v>446.12</v>
      </c>
      <c r="L29" s="1">
        <f t="shared" si="5"/>
        <v>810.06</v>
      </c>
      <c r="M29" s="1">
        <f t="shared" si="6"/>
        <v>1115.3</v>
      </c>
    </row>
    <row r="30" spans="1:13" x14ac:dyDescent="0.2">
      <c r="A30">
        <v>943</v>
      </c>
      <c r="B30" s="1">
        <f t="shared" si="0"/>
        <v>358.34000000000003</v>
      </c>
      <c r="C30" s="1">
        <f t="shared" si="1"/>
        <v>650.66999999999996</v>
      </c>
      <c r="D30" s="1">
        <f t="shared" si="2"/>
        <v>895.84999999999991</v>
      </c>
      <c r="E30" s="1">
        <f t="shared" si="3"/>
        <v>1857.71</v>
      </c>
      <c r="H30">
        <v>1003</v>
      </c>
      <c r="I30">
        <v>30</v>
      </c>
      <c r="J30">
        <v>943</v>
      </c>
      <c r="K30" s="1">
        <f t="shared" si="4"/>
        <v>358.34000000000003</v>
      </c>
      <c r="L30" s="1">
        <f t="shared" si="5"/>
        <v>650.66999999999996</v>
      </c>
      <c r="M30" s="1">
        <f t="shared" si="6"/>
        <v>895.84999999999991</v>
      </c>
    </row>
    <row r="31" spans="1:13" x14ac:dyDescent="0.2">
      <c r="A31">
        <v>627</v>
      </c>
      <c r="B31" s="1">
        <f t="shared" si="0"/>
        <v>238.26</v>
      </c>
      <c r="C31" s="1">
        <f t="shared" si="1"/>
        <v>432.62999999999994</v>
      </c>
      <c r="D31" s="1">
        <f t="shared" si="2"/>
        <v>595.65</v>
      </c>
      <c r="E31" s="1">
        <f t="shared" si="3"/>
        <v>1235.19</v>
      </c>
      <c r="H31">
        <v>1003</v>
      </c>
      <c r="I31">
        <v>31</v>
      </c>
      <c r="J31">
        <v>627</v>
      </c>
      <c r="K31" s="1">
        <f t="shared" si="4"/>
        <v>238.26</v>
      </c>
      <c r="L31" s="1">
        <f t="shared" si="5"/>
        <v>432.62999999999994</v>
      </c>
      <c r="M31" s="1">
        <f t="shared" si="6"/>
        <v>595.65</v>
      </c>
    </row>
    <row r="32" spans="1:13" x14ac:dyDescent="0.2">
      <c r="A32">
        <v>519</v>
      </c>
      <c r="B32" s="1">
        <f t="shared" si="0"/>
        <v>197.22</v>
      </c>
      <c r="C32" s="1">
        <f t="shared" si="1"/>
        <v>358.10999999999996</v>
      </c>
      <c r="D32" s="1">
        <f t="shared" si="2"/>
        <v>493.04999999999995</v>
      </c>
      <c r="E32" s="1">
        <f t="shared" si="3"/>
        <v>1022.43</v>
      </c>
      <c r="H32">
        <v>1003</v>
      </c>
      <c r="I32">
        <v>32</v>
      </c>
      <c r="J32">
        <v>519</v>
      </c>
      <c r="K32" s="1">
        <f t="shared" si="4"/>
        <v>197.22</v>
      </c>
      <c r="L32" s="1">
        <f t="shared" si="5"/>
        <v>358.10999999999996</v>
      </c>
      <c r="M32" s="1">
        <f t="shared" si="6"/>
        <v>493.04999999999995</v>
      </c>
    </row>
    <row r="33" spans="1:13" x14ac:dyDescent="0.2">
      <c r="A33">
        <v>471</v>
      </c>
      <c r="B33" s="1">
        <f t="shared" si="0"/>
        <v>178.98</v>
      </c>
      <c r="C33" s="1">
        <f t="shared" si="1"/>
        <v>324.98999999999995</v>
      </c>
      <c r="D33" s="1">
        <f t="shared" si="2"/>
        <v>447.45</v>
      </c>
      <c r="E33" s="1">
        <f t="shared" si="3"/>
        <v>927.87</v>
      </c>
      <c r="H33">
        <v>1003</v>
      </c>
      <c r="I33">
        <v>33</v>
      </c>
      <c r="J33">
        <v>471</v>
      </c>
      <c r="K33" s="1">
        <f t="shared" si="4"/>
        <v>178.98</v>
      </c>
      <c r="L33" s="1">
        <f t="shared" si="5"/>
        <v>324.98999999999995</v>
      </c>
      <c r="M33" s="1">
        <f t="shared" si="6"/>
        <v>447.45</v>
      </c>
    </row>
    <row r="34" spans="1:13" x14ac:dyDescent="0.2">
      <c r="A34">
        <v>447</v>
      </c>
      <c r="B34" s="1">
        <f t="shared" si="0"/>
        <v>169.86</v>
      </c>
      <c r="C34" s="1">
        <f t="shared" si="1"/>
        <v>308.42999999999995</v>
      </c>
      <c r="D34" s="1">
        <f t="shared" si="2"/>
        <v>424.65</v>
      </c>
      <c r="E34" s="1">
        <f t="shared" si="3"/>
        <v>880.59</v>
      </c>
      <c r="H34">
        <v>1003</v>
      </c>
      <c r="I34">
        <v>34</v>
      </c>
      <c r="J34">
        <v>447</v>
      </c>
      <c r="K34" s="1">
        <f t="shared" si="4"/>
        <v>169.86</v>
      </c>
      <c r="L34" s="1">
        <f t="shared" si="5"/>
        <v>308.42999999999995</v>
      </c>
      <c r="M34" s="1">
        <f t="shared" si="6"/>
        <v>424.65</v>
      </c>
    </row>
    <row r="35" spans="1:13" x14ac:dyDescent="0.2">
      <c r="A35">
        <v>426</v>
      </c>
      <c r="B35" s="1">
        <f t="shared" si="0"/>
        <v>161.88</v>
      </c>
      <c r="C35" s="1">
        <f t="shared" si="1"/>
        <v>293.94</v>
      </c>
      <c r="D35" s="1">
        <f t="shared" si="2"/>
        <v>404.7</v>
      </c>
      <c r="E35" s="1">
        <f t="shared" si="3"/>
        <v>839.22</v>
      </c>
      <c r="H35">
        <v>1003</v>
      </c>
      <c r="I35">
        <v>35</v>
      </c>
      <c r="J35">
        <v>426</v>
      </c>
      <c r="K35" s="1">
        <f t="shared" si="4"/>
        <v>161.88</v>
      </c>
      <c r="L35" s="1">
        <f t="shared" si="5"/>
        <v>293.94</v>
      </c>
      <c r="M35" s="1">
        <f t="shared" si="6"/>
        <v>404.7</v>
      </c>
    </row>
    <row r="36" spans="1:13" x14ac:dyDescent="0.2">
      <c r="A36">
        <v>420</v>
      </c>
      <c r="B36" s="1">
        <f t="shared" si="0"/>
        <v>159.6</v>
      </c>
      <c r="C36" s="1">
        <f t="shared" si="1"/>
        <v>289.79999999999995</v>
      </c>
      <c r="D36" s="1">
        <f t="shared" si="2"/>
        <v>399</v>
      </c>
      <c r="E36" s="1">
        <f t="shared" si="3"/>
        <v>827.4</v>
      </c>
      <c r="H36">
        <v>1003</v>
      </c>
      <c r="I36">
        <v>36</v>
      </c>
      <c r="J36">
        <v>420</v>
      </c>
      <c r="K36" s="1">
        <f t="shared" si="4"/>
        <v>159.6</v>
      </c>
      <c r="L36" s="1">
        <f t="shared" si="5"/>
        <v>289.79999999999995</v>
      </c>
      <c r="M36" s="1">
        <f t="shared" si="6"/>
        <v>399</v>
      </c>
    </row>
    <row r="37" spans="1:13" x14ac:dyDescent="0.2">
      <c r="A37">
        <v>418</v>
      </c>
      <c r="B37" s="1">
        <f t="shared" si="0"/>
        <v>158.84</v>
      </c>
      <c r="C37" s="1">
        <f t="shared" si="1"/>
        <v>288.41999999999996</v>
      </c>
      <c r="D37" s="1">
        <f t="shared" si="2"/>
        <v>397.09999999999997</v>
      </c>
      <c r="E37" s="1">
        <f t="shared" si="3"/>
        <v>823.46</v>
      </c>
      <c r="H37">
        <v>1003</v>
      </c>
      <c r="I37">
        <v>37</v>
      </c>
      <c r="J37">
        <v>418</v>
      </c>
      <c r="K37" s="1">
        <f t="shared" si="4"/>
        <v>158.84</v>
      </c>
      <c r="L37" s="1">
        <f t="shared" si="5"/>
        <v>288.41999999999996</v>
      </c>
      <c r="M37" s="1">
        <f t="shared" si="6"/>
        <v>397.09999999999997</v>
      </c>
    </row>
    <row r="38" spans="1:13" x14ac:dyDescent="0.2">
      <c r="A38">
        <v>415</v>
      </c>
      <c r="B38" s="1">
        <f t="shared" si="0"/>
        <v>157.69999999999999</v>
      </c>
      <c r="C38" s="1">
        <f t="shared" si="1"/>
        <v>286.34999999999997</v>
      </c>
      <c r="D38" s="1">
        <f t="shared" si="2"/>
        <v>394.25</v>
      </c>
      <c r="E38" s="1">
        <f t="shared" si="3"/>
        <v>817.55</v>
      </c>
      <c r="H38">
        <v>1003</v>
      </c>
      <c r="I38">
        <v>38</v>
      </c>
      <c r="J38">
        <v>415</v>
      </c>
      <c r="K38" s="1">
        <f t="shared" si="4"/>
        <v>157.69999999999999</v>
      </c>
      <c r="L38" s="1">
        <f t="shared" si="5"/>
        <v>286.34999999999997</v>
      </c>
      <c r="M38" s="1">
        <f t="shared" si="6"/>
        <v>394.25</v>
      </c>
    </row>
    <row r="39" spans="1:13" x14ac:dyDescent="0.2">
      <c r="A39">
        <v>384</v>
      </c>
      <c r="B39" s="1">
        <f t="shared" si="0"/>
        <v>145.92000000000002</v>
      </c>
      <c r="C39" s="1">
        <f t="shared" si="1"/>
        <v>264.95999999999998</v>
      </c>
      <c r="D39" s="1">
        <f t="shared" si="2"/>
        <v>364.79999999999995</v>
      </c>
      <c r="E39" s="1">
        <f t="shared" si="3"/>
        <v>756.48</v>
      </c>
      <c r="H39">
        <v>1003</v>
      </c>
      <c r="I39">
        <v>39</v>
      </c>
      <c r="J39">
        <v>384</v>
      </c>
      <c r="K39" s="1">
        <f t="shared" si="4"/>
        <v>145.92000000000002</v>
      </c>
      <c r="L39" s="1">
        <f t="shared" si="5"/>
        <v>264.95999999999998</v>
      </c>
      <c r="M39" s="1">
        <f t="shared" si="6"/>
        <v>364.79999999999995</v>
      </c>
    </row>
    <row r="40" spans="1:13" x14ac:dyDescent="0.2">
      <c r="A40">
        <v>363</v>
      </c>
      <c r="B40" s="1">
        <f t="shared" si="0"/>
        <v>137.94</v>
      </c>
      <c r="C40" s="1">
        <f t="shared" si="1"/>
        <v>250.46999999999997</v>
      </c>
      <c r="D40" s="1">
        <f t="shared" si="2"/>
        <v>344.84999999999997</v>
      </c>
      <c r="E40" s="1">
        <f t="shared" si="3"/>
        <v>715.11</v>
      </c>
      <c r="H40">
        <v>1003</v>
      </c>
      <c r="I40">
        <v>40</v>
      </c>
      <c r="J40">
        <v>363</v>
      </c>
      <c r="K40" s="1">
        <f t="shared" si="4"/>
        <v>137.94</v>
      </c>
      <c r="L40" s="1">
        <f t="shared" si="5"/>
        <v>250.46999999999997</v>
      </c>
      <c r="M40" s="1">
        <f t="shared" si="6"/>
        <v>344.84999999999997</v>
      </c>
    </row>
    <row r="41" spans="1:13" x14ac:dyDescent="0.2">
      <c r="A41">
        <v>345</v>
      </c>
      <c r="B41" s="1">
        <f t="shared" si="0"/>
        <v>131.1</v>
      </c>
      <c r="C41" s="1">
        <f t="shared" si="1"/>
        <v>238.04999999999998</v>
      </c>
      <c r="D41" s="1">
        <f t="shared" si="2"/>
        <v>327.75</v>
      </c>
      <c r="E41" s="1">
        <f t="shared" si="3"/>
        <v>679.65</v>
      </c>
      <c r="H41">
        <v>1003</v>
      </c>
      <c r="I41">
        <v>41</v>
      </c>
      <c r="J41">
        <v>345</v>
      </c>
      <c r="K41" s="1">
        <f t="shared" si="4"/>
        <v>131.1</v>
      </c>
      <c r="L41" s="1">
        <f t="shared" si="5"/>
        <v>238.04999999999998</v>
      </c>
      <c r="M41" s="1">
        <f t="shared" si="6"/>
        <v>327.75</v>
      </c>
    </row>
    <row r="42" spans="1:13" x14ac:dyDescent="0.2">
      <c r="A42">
        <v>326</v>
      </c>
      <c r="B42" s="1">
        <f t="shared" si="0"/>
        <v>123.88</v>
      </c>
      <c r="C42" s="1">
        <f t="shared" si="1"/>
        <v>224.93999999999997</v>
      </c>
      <c r="D42" s="1">
        <f t="shared" si="2"/>
        <v>309.7</v>
      </c>
      <c r="E42" s="1">
        <f t="shared" si="3"/>
        <v>642.22</v>
      </c>
      <c r="H42">
        <v>1003</v>
      </c>
      <c r="I42">
        <v>42</v>
      </c>
      <c r="J42">
        <v>326</v>
      </c>
      <c r="K42" s="1">
        <f t="shared" si="4"/>
        <v>123.88</v>
      </c>
      <c r="L42" s="1">
        <f t="shared" si="5"/>
        <v>224.93999999999997</v>
      </c>
      <c r="M42" s="1">
        <f t="shared" si="6"/>
        <v>309.7</v>
      </c>
    </row>
    <row r="43" spans="1:13" x14ac:dyDescent="0.2">
      <c r="A43">
        <v>319</v>
      </c>
      <c r="B43" s="1">
        <f t="shared" si="0"/>
        <v>121.22</v>
      </c>
      <c r="C43" s="1">
        <f t="shared" si="1"/>
        <v>220.10999999999999</v>
      </c>
      <c r="D43" s="1">
        <f t="shared" si="2"/>
        <v>303.05</v>
      </c>
      <c r="E43" s="1">
        <f t="shared" si="3"/>
        <v>628.42999999999995</v>
      </c>
      <c r="H43">
        <v>1003</v>
      </c>
      <c r="I43">
        <v>43</v>
      </c>
      <c r="J43">
        <v>319</v>
      </c>
      <c r="K43" s="1">
        <f t="shared" si="4"/>
        <v>121.22</v>
      </c>
      <c r="L43" s="1">
        <f t="shared" si="5"/>
        <v>220.10999999999999</v>
      </c>
      <c r="M43" s="1">
        <f t="shared" si="6"/>
        <v>303.05</v>
      </c>
    </row>
    <row r="44" spans="1:13" x14ac:dyDescent="0.2">
      <c r="A44">
        <v>312</v>
      </c>
      <c r="B44" s="1">
        <f t="shared" si="0"/>
        <v>118.56</v>
      </c>
      <c r="C44" s="1">
        <f t="shared" si="1"/>
        <v>215.27999999999997</v>
      </c>
      <c r="D44" s="1">
        <f t="shared" si="2"/>
        <v>296.39999999999998</v>
      </c>
      <c r="E44" s="1">
        <f t="shared" si="3"/>
        <v>614.64</v>
      </c>
      <c r="H44">
        <v>1003</v>
      </c>
      <c r="I44">
        <v>44</v>
      </c>
      <c r="J44">
        <v>312</v>
      </c>
      <c r="K44" s="1">
        <f t="shared" si="4"/>
        <v>118.56</v>
      </c>
      <c r="L44" s="1">
        <f t="shared" si="5"/>
        <v>215.27999999999997</v>
      </c>
      <c r="M44" s="1">
        <f t="shared" si="6"/>
        <v>296.39999999999998</v>
      </c>
    </row>
    <row r="45" spans="1:13" x14ac:dyDescent="0.2">
      <c r="A45">
        <v>304</v>
      </c>
      <c r="B45" s="1">
        <f t="shared" si="0"/>
        <v>115.52</v>
      </c>
      <c r="C45" s="1">
        <f t="shared" si="1"/>
        <v>209.76</v>
      </c>
      <c r="D45" s="1">
        <f t="shared" si="2"/>
        <v>288.8</v>
      </c>
      <c r="E45" s="1">
        <f t="shared" si="3"/>
        <v>598.88</v>
      </c>
      <c r="H45">
        <v>1003</v>
      </c>
      <c r="I45">
        <v>45</v>
      </c>
      <c r="J45">
        <v>304</v>
      </c>
      <c r="K45" s="1">
        <f t="shared" si="4"/>
        <v>115.52</v>
      </c>
      <c r="L45" s="1">
        <f t="shared" si="5"/>
        <v>209.76</v>
      </c>
      <c r="M45" s="1">
        <f t="shared" si="6"/>
        <v>288.8</v>
      </c>
    </row>
    <row r="46" spans="1:13" x14ac:dyDescent="0.2">
      <c r="A46">
        <v>283</v>
      </c>
      <c r="B46" s="1">
        <f t="shared" si="0"/>
        <v>107.54</v>
      </c>
      <c r="C46" s="1">
        <f t="shared" si="1"/>
        <v>195.26999999999998</v>
      </c>
      <c r="D46" s="1">
        <f t="shared" si="2"/>
        <v>268.84999999999997</v>
      </c>
      <c r="E46" s="1">
        <f t="shared" si="3"/>
        <v>557.51</v>
      </c>
      <c r="H46">
        <v>1003</v>
      </c>
      <c r="I46">
        <v>46</v>
      </c>
      <c r="J46">
        <v>283</v>
      </c>
      <c r="K46" s="1">
        <f t="shared" si="4"/>
        <v>107.54</v>
      </c>
      <c r="L46" s="1">
        <f t="shared" si="5"/>
        <v>195.26999999999998</v>
      </c>
      <c r="M46" s="1">
        <f t="shared" si="6"/>
        <v>268.84999999999997</v>
      </c>
    </row>
    <row r="47" spans="1:13" x14ac:dyDescent="0.2">
      <c r="A47">
        <v>260</v>
      </c>
      <c r="B47" s="1">
        <f t="shared" si="0"/>
        <v>98.8</v>
      </c>
      <c r="C47" s="1">
        <f t="shared" si="1"/>
        <v>179.39999999999998</v>
      </c>
      <c r="D47" s="1">
        <f t="shared" si="2"/>
        <v>247</v>
      </c>
      <c r="E47" s="1">
        <f t="shared" si="3"/>
        <v>512.20000000000005</v>
      </c>
      <c r="H47">
        <v>1003</v>
      </c>
      <c r="I47">
        <v>47</v>
      </c>
      <c r="J47">
        <v>260</v>
      </c>
      <c r="K47" s="1">
        <f t="shared" si="4"/>
        <v>98.8</v>
      </c>
      <c r="L47" s="1">
        <f t="shared" si="5"/>
        <v>179.39999999999998</v>
      </c>
      <c r="M47" s="1">
        <f t="shared" si="6"/>
        <v>247</v>
      </c>
    </row>
    <row r="48" spans="1:13" x14ac:dyDescent="0.2">
      <c r="A48">
        <v>348</v>
      </c>
      <c r="B48" s="1">
        <f t="shared" si="0"/>
        <v>132.24</v>
      </c>
      <c r="C48" s="1">
        <f t="shared" si="1"/>
        <v>240.11999999999998</v>
      </c>
      <c r="D48" s="1">
        <f t="shared" si="2"/>
        <v>330.59999999999997</v>
      </c>
      <c r="E48" s="1">
        <f t="shared" si="3"/>
        <v>685.56</v>
      </c>
      <c r="H48">
        <v>1003</v>
      </c>
      <c r="I48">
        <v>48</v>
      </c>
      <c r="J48">
        <v>348</v>
      </c>
      <c r="K48" s="1">
        <f t="shared" si="4"/>
        <v>132.24</v>
      </c>
      <c r="L48" s="1">
        <f t="shared" si="5"/>
        <v>240.11999999999998</v>
      </c>
      <c r="M48" s="1">
        <f t="shared" si="6"/>
        <v>330.59999999999997</v>
      </c>
    </row>
    <row r="49" spans="1:13" x14ac:dyDescent="0.2">
      <c r="A49">
        <v>217</v>
      </c>
      <c r="B49" s="1">
        <f t="shared" si="0"/>
        <v>82.460000000000008</v>
      </c>
      <c r="C49" s="1">
        <f t="shared" si="1"/>
        <v>149.72999999999999</v>
      </c>
      <c r="D49" s="1">
        <f t="shared" si="2"/>
        <v>206.14999999999998</v>
      </c>
      <c r="E49" s="1">
        <f t="shared" si="3"/>
        <v>427.49</v>
      </c>
      <c r="H49">
        <v>1003</v>
      </c>
      <c r="I49">
        <v>49</v>
      </c>
      <c r="J49">
        <v>217</v>
      </c>
      <c r="K49" s="1">
        <f t="shared" si="4"/>
        <v>82.460000000000008</v>
      </c>
      <c r="L49" s="1">
        <f t="shared" si="5"/>
        <v>149.72999999999999</v>
      </c>
      <c r="M49" s="1">
        <f t="shared" si="6"/>
        <v>206.14999999999998</v>
      </c>
    </row>
    <row r="50" spans="1:13" x14ac:dyDescent="0.2">
      <c r="A50">
        <v>204</v>
      </c>
      <c r="B50" s="1">
        <f t="shared" si="0"/>
        <v>77.52</v>
      </c>
      <c r="C50" s="1">
        <f t="shared" si="1"/>
        <v>140.76</v>
      </c>
      <c r="D50" s="1">
        <f t="shared" si="2"/>
        <v>193.79999999999998</v>
      </c>
      <c r="E50" s="1">
        <f t="shared" si="3"/>
        <v>401.88</v>
      </c>
      <c r="H50">
        <v>1003</v>
      </c>
      <c r="I50">
        <v>50</v>
      </c>
      <c r="J50">
        <v>204</v>
      </c>
      <c r="K50" s="1">
        <f t="shared" si="4"/>
        <v>77.52</v>
      </c>
      <c r="L50" s="1">
        <f t="shared" si="5"/>
        <v>140.76</v>
      </c>
      <c r="M50" s="1">
        <f t="shared" si="6"/>
        <v>193.79999999999998</v>
      </c>
    </row>
    <row r="51" spans="1:13" x14ac:dyDescent="0.2">
      <c r="A51">
        <v>195</v>
      </c>
      <c r="B51" s="1">
        <f t="shared" si="0"/>
        <v>74.099999999999994</v>
      </c>
      <c r="C51" s="1">
        <f t="shared" si="1"/>
        <v>134.54999999999998</v>
      </c>
      <c r="D51" s="1">
        <f t="shared" si="2"/>
        <v>185.25</v>
      </c>
      <c r="E51" s="1">
        <f t="shared" si="3"/>
        <v>384.15</v>
      </c>
      <c r="H51">
        <v>1003</v>
      </c>
      <c r="I51">
        <v>51</v>
      </c>
      <c r="J51">
        <v>195</v>
      </c>
      <c r="K51" s="1">
        <f t="shared" si="4"/>
        <v>74.099999999999994</v>
      </c>
      <c r="L51" s="1">
        <f t="shared" si="5"/>
        <v>134.54999999999998</v>
      </c>
      <c r="M51" s="1">
        <f t="shared" si="6"/>
        <v>185.25</v>
      </c>
    </row>
    <row r="52" spans="1:13" x14ac:dyDescent="0.2">
      <c r="A52">
        <v>187</v>
      </c>
      <c r="B52" s="1">
        <f t="shared" si="0"/>
        <v>71.06</v>
      </c>
      <c r="C52" s="1">
        <f t="shared" si="1"/>
        <v>129.03</v>
      </c>
      <c r="D52" s="1">
        <f t="shared" si="2"/>
        <v>177.65</v>
      </c>
      <c r="E52" s="1">
        <f t="shared" si="3"/>
        <v>368.39</v>
      </c>
      <c r="H52">
        <v>1003</v>
      </c>
      <c r="I52">
        <v>52</v>
      </c>
      <c r="J52">
        <v>187</v>
      </c>
      <c r="K52" s="1">
        <f t="shared" si="4"/>
        <v>71.06</v>
      </c>
      <c r="L52" s="1">
        <f t="shared" si="5"/>
        <v>129.03</v>
      </c>
      <c r="M52" s="1">
        <f t="shared" si="6"/>
        <v>177.65</v>
      </c>
    </row>
    <row r="53" spans="1:13" x14ac:dyDescent="0.2">
      <c r="A53">
        <v>180</v>
      </c>
      <c r="B53" s="1">
        <f t="shared" si="0"/>
        <v>68.400000000000006</v>
      </c>
      <c r="C53" s="1">
        <f t="shared" si="1"/>
        <v>124.19999999999999</v>
      </c>
      <c r="D53" s="1">
        <f t="shared" si="2"/>
        <v>171</v>
      </c>
      <c r="E53" s="1">
        <f t="shared" si="3"/>
        <v>354.6</v>
      </c>
      <c r="H53">
        <v>1003</v>
      </c>
      <c r="I53">
        <v>53</v>
      </c>
      <c r="J53">
        <v>180</v>
      </c>
      <c r="K53" s="1">
        <f t="shared" si="4"/>
        <v>68.400000000000006</v>
      </c>
      <c r="L53" s="1">
        <f t="shared" si="5"/>
        <v>124.19999999999999</v>
      </c>
      <c r="M53" s="1">
        <f t="shared" si="6"/>
        <v>171</v>
      </c>
    </row>
    <row r="54" spans="1:13" x14ac:dyDescent="0.2">
      <c r="A54">
        <v>171</v>
      </c>
      <c r="B54" s="1">
        <f t="shared" si="0"/>
        <v>64.98</v>
      </c>
      <c r="C54" s="1">
        <f t="shared" si="1"/>
        <v>117.99</v>
      </c>
      <c r="D54" s="1">
        <f t="shared" si="2"/>
        <v>162.44999999999999</v>
      </c>
      <c r="E54" s="1">
        <f t="shared" si="3"/>
        <v>336.87</v>
      </c>
      <c r="H54">
        <v>1003</v>
      </c>
      <c r="I54">
        <v>54</v>
      </c>
      <c r="J54">
        <v>171</v>
      </c>
      <c r="K54" s="1">
        <f t="shared" si="4"/>
        <v>64.98</v>
      </c>
      <c r="L54" s="1">
        <f t="shared" si="5"/>
        <v>117.99</v>
      </c>
      <c r="M54" s="1">
        <f t="shared" si="6"/>
        <v>162.44999999999999</v>
      </c>
    </row>
    <row r="55" spans="1:13" x14ac:dyDescent="0.2">
      <c r="A55">
        <v>163</v>
      </c>
      <c r="B55" s="1">
        <f t="shared" si="0"/>
        <v>61.94</v>
      </c>
      <c r="C55" s="1">
        <f t="shared" si="1"/>
        <v>112.46999999999998</v>
      </c>
      <c r="D55" s="1">
        <f t="shared" si="2"/>
        <v>154.85</v>
      </c>
      <c r="E55" s="1">
        <f t="shared" si="3"/>
        <v>321.11</v>
      </c>
      <c r="H55">
        <v>1003</v>
      </c>
      <c r="I55">
        <v>55</v>
      </c>
      <c r="J55">
        <v>163</v>
      </c>
      <c r="K55" s="1">
        <f t="shared" si="4"/>
        <v>61.94</v>
      </c>
      <c r="L55" s="1">
        <f t="shared" si="5"/>
        <v>112.46999999999998</v>
      </c>
      <c r="M55" s="1">
        <f t="shared" si="6"/>
        <v>154.85</v>
      </c>
    </row>
    <row r="56" spans="1:13" x14ac:dyDescent="0.2">
      <c r="A56">
        <v>156</v>
      </c>
      <c r="B56" s="1">
        <f t="shared" si="0"/>
        <v>59.28</v>
      </c>
      <c r="C56" s="1">
        <f t="shared" si="1"/>
        <v>107.63999999999999</v>
      </c>
      <c r="D56" s="1">
        <f t="shared" si="2"/>
        <v>148.19999999999999</v>
      </c>
      <c r="E56" s="1">
        <f t="shared" si="3"/>
        <v>307.32</v>
      </c>
      <c r="H56">
        <v>1003</v>
      </c>
      <c r="I56">
        <v>56</v>
      </c>
      <c r="J56">
        <v>156</v>
      </c>
      <c r="K56" s="1">
        <f t="shared" si="4"/>
        <v>59.28</v>
      </c>
      <c r="L56" s="1">
        <f t="shared" si="5"/>
        <v>107.63999999999999</v>
      </c>
      <c r="M56" s="1">
        <f t="shared" si="6"/>
        <v>148.19999999999999</v>
      </c>
    </row>
    <row r="57" spans="1:13" x14ac:dyDescent="0.2">
      <c r="A57">
        <v>149</v>
      </c>
      <c r="B57" s="1">
        <f t="shared" si="0"/>
        <v>56.62</v>
      </c>
      <c r="C57" s="1">
        <f t="shared" si="1"/>
        <v>102.80999999999999</v>
      </c>
      <c r="D57" s="1">
        <f t="shared" si="2"/>
        <v>141.54999999999998</v>
      </c>
      <c r="E57" s="1">
        <f t="shared" si="3"/>
        <v>293.52999999999997</v>
      </c>
      <c r="H57">
        <v>1003</v>
      </c>
      <c r="I57">
        <v>57</v>
      </c>
      <c r="J57">
        <v>149</v>
      </c>
      <c r="K57" s="1">
        <f t="shared" si="4"/>
        <v>56.62</v>
      </c>
      <c r="L57" s="1">
        <f t="shared" si="5"/>
        <v>102.80999999999999</v>
      </c>
      <c r="M57" s="1">
        <f t="shared" si="6"/>
        <v>141.54999999999998</v>
      </c>
    </row>
    <row r="58" spans="1:13" x14ac:dyDescent="0.2">
      <c r="A58">
        <v>142</v>
      </c>
      <c r="B58" s="1">
        <f t="shared" si="0"/>
        <v>53.96</v>
      </c>
      <c r="C58" s="1">
        <f t="shared" si="1"/>
        <v>97.97999999999999</v>
      </c>
      <c r="D58" s="1">
        <f t="shared" si="2"/>
        <v>134.9</v>
      </c>
      <c r="E58" s="1">
        <f t="shared" si="3"/>
        <v>279.74</v>
      </c>
      <c r="H58">
        <v>1003</v>
      </c>
      <c r="I58">
        <v>58</v>
      </c>
      <c r="J58">
        <v>142</v>
      </c>
      <c r="K58" s="1">
        <f t="shared" si="4"/>
        <v>53.96</v>
      </c>
      <c r="L58" s="1">
        <f t="shared" si="5"/>
        <v>97.97999999999999</v>
      </c>
      <c r="M58" s="1">
        <f t="shared" si="6"/>
        <v>134.9</v>
      </c>
    </row>
    <row r="59" spans="1:13" x14ac:dyDescent="0.2">
      <c r="A59">
        <v>68</v>
      </c>
      <c r="B59" s="1">
        <f t="shared" si="0"/>
        <v>25.84</v>
      </c>
      <c r="C59" s="1">
        <f t="shared" si="1"/>
        <v>46.919999999999995</v>
      </c>
      <c r="D59" s="1">
        <f t="shared" si="2"/>
        <v>64.599999999999994</v>
      </c>
      <c r="E59" s="1">
        <f t="shared" si="3"/>
        <v>133.96</v>
      </c>
      <c r="H59">
        <v>1003</v>
      </c>
      <c r="I59">
        <v>59</v>
      </c>
      <c r="J59">
        <v>68</v>
      </c>
      <c r="K59" s="1">
        <f t="shared" si="4"/>
        <v>25.84</v>
      </c>
      <c r="L59" s="1">
        <f t="shared" si="5"/>
        <v>46.919999999999995</v>
      </c>
      <c r="M59" s="1">
        <f t="shared" si="6"/>
        <v>64.599999999999994</v>
      </c>
    </row>
    <row r="60" spans="1:13" x14ac:dyDescent="0.2">
      <c r="A60">
        <v>69</v>
      </c>
      <c r="B60" s="1">
        <f t="shared" si="0"/>
        <v>26.22</v>
      </c>
      <c r="C60" s="1">
        <f t="shared" si="1"/>
        <v>47.61</v>
      </c>
      <c r="D60" s="1">
        <f t="shared" si="2"/>
        <v>65.55</v>
      </c>
      <c r="E60" s="1">
        <f t="shared" si="3"/>
        <v>135.93</v>
      </c>
      <c r="H60">
        <v>1003</v>
      </c>
      <c r="I60">
        <v>60</v>
      </c>
      <c r="J60">
        <v>69</v>
      </c>
      <c r="K60" s="1">
        <f t="shared" si="4"/>
        <v>26.22</v>
      </c>
      <c r="L60" s="1">
        <f t="shared" si="5"/>
        <v>47.61</v>
      </c>
      <c r="M60" s="1">
        <f t="shared" si="6"/>
        <v>65.55</v>
      </c>
    </row>
    <row r="61" spans="1:13" x14ac:dyDescent="0.2">
      <c r="A61">
        <v>70</v>
      </c>
      <c r="B61" s="1">
        <f t="shared" si="0"/>
        <v>26.6</v>
      </c>
      <c r="C61" s="1">
        <f t="shared" si="1"/>
        <v>48.3</v>
      </c>
      <c r="D61" s="1">
        <f t="shared" si="2"/>
        <v>66.5</v>
      </c>
      <c r="E61" s="1">
        <f t="shared" si="3"/>
        <v>137.9</v>
      </c>
      <c r="H61">
        <v>1003</v>
      </c>
      <c r="I61">
        <v>61</v>
      </c>
      <c r="J61">
        <v>70</v>
      </c>
      <c r="K61" s="1">
        <f t="shared" si="4"/>
        <v>26.6</v>
      </c>
      <c r="L61" s="1">
        <f t="shared" si="5"/>
        <v>48.3</v>
      </c>
      <c r="M61" s="1">
        <f t="shared" si="6"/>
        <v>66.5</v>
      </c>
    </row>
    <row r="62" spans="1:13" x14ac:dyDescent="0.2">
      <c r="A62">
        <v>71</v>
      </c>
      <c r="B62" s="1">
        <f t="shared" si="0"/>
        <v>26.98</v>
      </c>
      <c r="C62" s="1">
        <f t="shared" si="1"/>
        <v>48.989999999999995</v>
      </c>
      <c r="D62" s="1">
        <f t="shared" si="2"/>
        <v>67.45</v>
      </c>
      <c r="E62" s="1">
        <f t="shared" si="3"/>
        <v>139.87</v>
      </c>
      <c r="H62">
        <v>1003</v>
      </c>
      <c r="I62">
        <v>62</v>
      </c>
      <c r="J62">
        <v>71</v>
      </c>
      <c r="K62" s="1">
        <f t="shared" si="4"/>
        <v>26.98</v>
      </c>
      <c r="L62" s="1">
        <f t="shared" si="5"/>
        <v>48.989999999999995</v>
      </c>
      <c r="M62" s="1">
        <f t="shared" si="6"/>
        <v>67.45</v>
      </c>
    </row>
    <row r="63" spans="1:13" x14ac:dyDescent="0.2">
      <c r="A63">
        <v>71</v>
      </c>
      <c r="B63" s="1">
        <f t="shared" si="0"/>
        <v>26.98</v>
      </c>
      <c r="C63" s="1">
        <f t="shared" si="1"/>
        <v>48.989999999999995</v>
      </c>
      <c r="D63" s="1">
        <f t="shared" si="2"/>
        <v>67.45</v>
      </c>
      <c r="E63" s="1">
        <f t="shared" si="3"/>
        <v>139.87</v>
      </c>
      <c r="H63">
        <v>1003</v>
      </c>
      <c r="I63">
        <v>63</v>
      </c>
      <c r="J63">
        <v>71</v>
      </c>
      <c r="K63" s="1">
        <f t="shared" si="4"/>
        <v>26.98</v>
      </c>
      <c r="L63" s="1">
        <f t="shared" si="5"/>
        <v>48.989999999999995</v>
      </c>
      <c r="M63" s="1">
        <f t="shared" si="6"/>
        <v>67.45</v>
      </c>
    </row>
    <row r="64" spans="1:13" x14ac:dyDescent="0.2">
      <c r="A64">
        <v>71</v>
      </c>
      <c r="B64" s="1">
        <f t="shared" si="0"/>
        <v>26.98</v>
      </c>
      <c r="C64" s="1">
        <f t="shared" si="1"/>
        <v>48.989999999999995</v>
      </c>
      <c r="D64" s="1">
        <f t="shared" si="2"/>
        <v>67.45</v>
      </c>
      <c r="E64" s="1">
        <f t="shared" si="3"/>
        <v>139.87</v>
      </c>
      <c r="H64">
        <v>1003</v>
      </c>
      <c r="I64">
        <v>64</v>
      </c>
      <c r="J64">
        <v>71</v>
      </c>
      <c r="K64" s="1">
        <f t="shared" si="4"/>
        <v>26.98</v>
      </c>
      <c r="L64" s="1">
        <f t="shared" si="5"/>
        <v>48.989999999999995</v>
      </c>
      <c r="M64" s="1">
        <f t="shared" si="6"/>
        <v>67.45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F92-85E5-4601-AD45-43F9F5154192}">
  <dimension ref="A1:M64"/>
  <sheetViews>
    <sheetView topLeftCell="A26" workbookViewId="0">
      <selection activeCell="H1" sqref="H1:M64"/>
    </sheetView>
  </sheetViews>
  <sheetFormatPr defaultRowHeight="14.25" x14ac:dyDescent="0.2"/>
  <cols>
    <col min="1" max="5" width="9" style="1"/>
  </cols>
  <sheetData>
    <row r="1" spans="1:13" x14ac:dyDescent="0.2">
      <c r="A1" s="1">
        <v>100</v>
      </c>
      <c r="B1" s="1">
        <f>A1*0.84</f>
        <v>84</v>
      </c>
      <c r="C1" s="1">
        <f>A1*1.33</f>
        <v>133</v>
      </c>
      <c r="D1" s="1">
        <f>A1*1.73</f>
        <v>173</v>
      </c>
      <c r="E1" s="1">
        <f>A1*2.61</f>
        <v>261</v>
      </c>
      <c r="H1">
        <v>1001</v>
      </c>
      <c r="I1">
        <v>1</v>
      </c>
      <c r="J1" s="1">
        <v>100</v>
      </c>
      <c r="K1" s="1">
        <f>J1*0.84</f>
        <v>84</v>
      </c>
      <c r="L1" s="1">
        <f>J1*1.33</f>
        <v>133</v>
      </c>
      <c r="M1" s="1">
        <f>J1*1.73</f>
        <v>173</v>
      </c>
    </row>
    <row r="2" spans="1:13" x14ac:dyDescent="0.2">
      <c r="A2" s="1">
        <v>127</v>
      </c>
      <c r="B2" s="1">
        <f t="shared" ref="B2:B64" si="0">A2*0.84</f>
        <v>106.67999999999999</v>
      </c>
      <c r="C2" s="1">
        <f t="shared" ref="C2:C64" si="1">A2*1.33</f>
        <v>168.91</v>
      </c>
      <c r="D2" s="1">
        <f t="shared" ref="D2:D64" si="2">A2*1.73</f>
        <v>219.71</v>
      </c>
      <c r="E2" s="1">
        <f t="shared" ref="E2:E64" si="3">A2*2.61</f>
        <v>331.46999999999997</v>
      </c>
      <c r="H2">
        <v>1001</v>
      </c>
      <c r="I2">
        <v>2</v>
      </c>
      <c r="J2" s="1">
        <v>127</v>
      </c>
      <c r="K2" s="1">
        <f t="shared" ref="K2:K64" si="4">J2*0.84</f>
        <v>106.67999999999999</v>
      </c>
      <c r="L2" s="1">
        <f t="shared" ref="L2:L64" si="5">J2*1.33</f>
        <v>168.91</v>
      </c>
      <c r="M2" s="1">
        <f t="shared" ref="M2:M64" si="6">J2*1.73</f>
        <v>219.71</v>
      </c>
    </row>
    <row r="3" spans="1:13" x14ac:dyDescent="0.2">
      <c r="A3" s="1">
        <v>155</v>
      </c>
      <c r="B3" s="1">
        <f t="shared" si="0"/>
        <v>130.19999999999999</v>
      </c>
      <c r="C3" s="1">
        <f t="shared" si="1"/>
        <v>206.15</v>
      </c>
      <c r="D3" s="1">
        <f t="shared" si="2"/>
        <v>268.14999999999998</v>
      </c>
      <c r="E3" s="1">
        <f t="shared" si="3"/>
        <v>404.54999999999995</v>
      </c>
      <c r="H3">
        <v>1001</v>
      </c>
      <c r="I3">
        <v>3</v>
      </c>
      <c r="J3" s="1">
        <v>155</v>
      </c>
      <c r="K3" s="1">
        <f t="shared" si="4"/>
        <v>130.19999999999999</v>
      </c>
      <c r="L3" s="1">
        <f t="shared" si="5"/>
        <v>206.15</v>
      </c>
      <c r="M3" s="1">
        <f t="shared" si="6"/>
        <v>268.14999999999998</v>
      </c>
    </row>
    <row r="4" spans="1:13" x14ac:dyDescent="0.2">
      <c r="A4" s="1">
        <v>183</v>
      </c>
      <c r="B4" s="1">
        <f t="shared" si="0"/>
        <v>153.72</v>
      </c>
      <c r="C4" s="1">
        <f t="shared" si="1"/>
        <v>243.39000000000001</v>
      </c>
      <c r="D4" s="1">
        <f t="shared" si="2"/>
        <v>316.58999999999997</v>
      </c>
      <c r="E4" s="1">
        <f t="shared" si="3"/>
        <v>477.63</v>
      </c>
      <c r="H4">
        <v>1001</v>
      </c>
      <c r="I4">
        <v>4</v>
      </c>
      <c r="J4" s="1">
        <v>183</v>
      </c>
      <c r="K4" s="1">
        <f t="shared" si="4"/>
        <v>153.72</v>
      </c>
      <c r="L4" s="1">
        <f t="shared" si="5"/>
        <v>243.39000000000001</v>
      </c>
      <c r="M4" s="1">
        <f t="shared" si="6"/>
        <v>316.58999999999997</v>
      </c>
    </row>
    <row r="5" spans="1:13" x14ac:dyDescent="0.2">
      <c r="A5" s="1">
        <v>210</v>
      </c>
      <c r="B5" s="1">
        <f t="shared" si="0"/>
        <v>176.4</v>
      </c>
      <c r="C5" s="1">
        <f t="shared" si="1"/>
        <v>279.3</v>
      </c>
      <c r="D5" s="1">
        <f t="shared" si="2"/>
        <v>363.3</v>
      </c>
      <c r="E5" s="1">
        <f t="shared" si="3"/>
        <v>548.1</v>
      </c>
      <c r="H5">
        <v>1001</v>
      </c>
      <c r="I5">
        <v>5</v>
      </c>
      <c r="J5" s="1">
        <v>210</v>
      </c>
      <c r="K5" s="1">
        <f t="shared" si="4"/>
        <v>176.4</v>
      </c>
      <c r="L5" s="1">
        <f t="shared" si="5"/>
        <v>279.3</v>
      </c>
      <c r="M5" s="1">
        <f t="shared" si="6"/>
        <v>363.3</v>
      </c>
    </row>
    <row r="6" spans="1:13" x14ac:dyDescent="0.2">
      <c r="A6" s="1">
        <v>237</v>
      </c>
      <c r="B6" s="1">
        <f t="shared" si="0"/>
        <v>199.07999999999998</v>
      </c>
      <c r="C6" s="1">
        <f t="shared" si="1"/>
        <v>315.21000000000004</v>
      </c>
      <c r="D6" s="1">
        <f t="shared" si="2"/>
        <v>410.01</v>
      </c>
      <c r="E6" s="1">
        <f t="shared" si="3"/>
        <v>618.56999999999994</v>
      </c>
      <c r="H6">
        <v>1001</v>
      </c>
      <c r="I6">
        <v>6</v>
      </c>
      <c r="J6" s="1">
        <v>237</v>
      </c>
      <c r="K6" s="1">
        <f t="shared" si="4"/>
        <v>199.07999999999998</v>
      </c>
      <c r="L6" s="1">
        <f t="shared" si="5"/>
        <v>315.21000000000004</v>
      </c>
      <c r="M6" s="1">
        <f t="shared" si="6"/>
        <v>410.01</v>
      </c>
    </row>
    <row r="7" spans="1:13" x14ac:dyDescent="0.2">
      <c r="A7" s="1">
        <v>265</v>
      </c>
      <c r="B7" s="1">
        <f t="shared" si="0"/>
        <v>222.6</v>
      </c>
      <c r="C7" s="1">
        <f t="shared" si="1"/>
        <v>352.45000000000005</v>
      </c>
      <c r="D7" s="1">
        <f t="shared" si="2"/>
        <v>458.45</v>
      </c>
      <c r="E7" s="1">
        <f t="shared" si="3"/>
        <v>691.65</v>
      </c>
      <c r="H7">
        <v>1001</v>
      </c>
      <c r="I7">
        <v>7</v>
      </c>
      <c r="J7" s="1">
        <v>265</v>
      </c>
      <c r="K7" s="1">
        <f t="shared" si="4"/>
        <v>222.6</v>
      </c>
      <c r="L7" s="1">
        <f t="shared" si="5"/>
        <v>352.45000000000005</v>
      </c>
      <c r="M7" s="1">
        <f t="shared" si="6"/>
        <v>458.45</v>
      </c>
    </row>
    <row r="8" spans="1:13" x14ac:dyDescent="0.2">
      <c r="A8" s="1">
        <v>269</v>
      </c>
      <c r="B8" s="1">
        <f t="shared" si="0"/>
        <v>225.95999999999998</v>
      </c>
      <c r="C8" s="1">
        <f t="shared" si="1"/>
        <v>357.77000000000004</v>
      </c>
      <c r="D8" s="1">
        <f t="shared" si="2"/>
        <v>465.37</v>
      </c>
      <c r="E8" s="1">
        <f t="shared" si="3"/>
        <v>702.08999999999992</v>
      </c>
      <c r="H8">
        <v>1001</v>
      </c>
      <c r="I8">
        <v>8</v>
      </c>
      <c r="J8" s="1">
        <v>269</v>
      </c>
      <c r="K8" s="1">
        <f t="shared" si="4"/>
        <v>225.95999999999998</v>
      </c>
      <c r="L8" s="1">
        <f t="shared" si="5"/>
        <v>357.77000000000004</v>
      </c>
      <c r="M8" s="1">
        <f t="shared" si="6"/>
        <v>465.37</v>
      </c>
    </row>
    <row r="9" spans="1:13" x14ac:dyDescent="0.2">
      <c r="A9" s="1">
        <v>273</v>
      </c>
      <c r="B9" s="1">
        <f t="shared" si="0"/>
        <v>229.32</v>
      </c>
      <c r="C9" s="1">
        <f t="shared" si="1"/>
        <v>363.09000000000003</v>
      </c>
      <c r="D9" s="1">
        <f t="shared" si="2"/>
        <v>472.29</v>
      </c>
      <c r="E9" s="1">
        <f t="shared" si="3"/>
        <v>712.53</v>
      </c>
      <c r="H9">
        <v>1001</v>
      </c>
      <c r="I9">
        <v>9</v>
      </c>
      <c r="J9" s="1">
        <v>273</v>
      </c>
      <c r="K9" s="1">
        <f t="shared" si="4"/>
        <v>229.32</v>
      </c>
      <c r="L9" s="1">
        <f t="shared" si="5"/>
        <v>363.09000000000003</v>
      </c>
      <c r="M9" s="1">
        <f t="shared" si="6"/>
        <v>472.29</v>
      </c>
    </row>
    <row r="10" spans="1:13" x14ac:dyDescent="0.2">
      <c r="A10" s="1">
        <v>276</v>
      </c>
      <c r="B10" s="1">
        <f t="shared" si="0"/>
        <v>231.84</v>
      </c>
      <c r="C10" s="1">
        <f t="shared" si="1"/>
        <v>367.08000000000004</v>
      </c>
      <c r="D10" s="1">
        <f t="shared" si="2"/>
        <v>477.48</v>
      </c>
      <c r="E10" s="1">
        <f t="shared" si="3"/>
        <v>720.36</v>
      </c>
      <c r="H10">
        <v>1001</v>
      </c>
      <c r="I10">
        <v>10</v>
      </c>
      <c r="J10" s="1">
        <v>276</v>
      </c>
      <c r="K10" s="1">
        <f t="shared" si="4"/>
        <v>231.84</v>
      </c>
      <c r="L10" s="1">
        <f t="shared" si="5"/>
        <v>367.08000000000004</v>
      </c>
      <c r="M10" s="1">
        <f t="shared" si="6"/>
        <v>477.48</v>
      </c>
    </row>
    <row r="11" spans="1:13" x14ac:dyDescent="0.2">
      <c r="A11" s="1">
        <v>280</v>
      </c>
      <c r="B11" s="1">
        <f t="shared" si="0"/>
        <v>235.2</v>
      </c>
      <c r="C11" s="1">
        <f t="shared" si="1"/>
        <v>372.40000000000003</v>
      </c>
      <c r="D11" s="1">
        <f t="shared" si="2"/>
        <v>484.4</v>
      </c>
      <c r="E11" s="1">
        <f t="shared" si="3"/>
        <v>730.8</v>
      </c>
      <c r="H11">
        <v>1001</v>
      </c>
      <c r="I11">
        <v>11</v>
      </c>
      <c r="J11" s="1">
        <v>280</v>
      </c>
      <c r="K11" s="1">
        <f t="shared" si="4"/>
        <v>235.2</v>
      </c>
      <c r="L11" s="1">
        <f t="shared" si="5"/>
        <v>372.40000000000003</v>
      </c>
      <c r="M11" s="1">
        <f t="shared" si="6"/>
        <v>484.4</v>
      </c>
    </row>
    <row r="12" spans="1:13" x14ac:dyDescent="0.2">
      <c r="A12" s="1">
        <v>360</v>
      </c>
      <c r="B12" s="1">
        <f t="shared" si="0"/>
        <v>302.39999999999998</v>
      </c>
      <c r="C12" s="1">
        <f t="shared" si="1"/>
        <v>478.8</v>
      </c>
      <c r="D12" s="1">
        <f t="shared" si="2"/>
        <v>622.79999999999995</v>
      </c>
      <c r="E12" s="1">
        <f t="shared" si="3"/>
        <v>939.59999999999991</v>
      </c>
      <c r="H12">
        <v>1001</v>
      </c>
      <c r="I12">
        <v>12</v>
      </c>
      <c r="J12" s="1">
        <v>360</v>
      </c>
      <c r="K12" s="1">
        <f t="shared" si="4"/>
        <v>302.39999999999998</v>
      </c>
      <c r="L12" s="1">
        <f t="shared" si="5"/>
        <v>478.8</v>
      </c>
      <c r="M12" s="1">
        <f t="shared" si="6"/>
        <v>622.79999999999995</v>
      </c>
    </row>
    <row r="13" spans="1:13" x14ac:dyDescent="0.2">
      <c r="A13" s="1">
        <v>840</v>
      </c>
      <c r="B13" s="1">
        <f t="shared" si="0"/>
        <v>705.6</v>
      </c>
      <c r="C13" s="1">
        <f t="shared" si="1"/>
        <v>1117.2</v>
      </c>
      <c r="D13" s="1">
        <f t="shared" si="2"/>
        <v>1453.2</v>
      </c>
      <c r="E13" s="1">
        <f t="shared" si="3"/>
        <v>2192.4</v>
      </c>
      <c r="H13">
        <v>1001</v>
      </c>
      <c r="I13">
        <v>13</v>
      </c>
      <c r="J13" s="1">
        <v>840</v>
      </c>
      <c r="K13" s="1">
        <f t="shared" si="4"/>
        <v>705.6</v>
      </c>
      <c r="L13" s="1">
        <f t="shared" si="5"/>
        <v>1117.2</v>
      </c>
      <c r="M13" s="1">
        <f t="shared" si="6"/>
        <v>1453.2</v>
      </c>
    </row>
    <row r="14" spans="1:13" x14ac:dyDescent="0.2">
      <c r="A14" s="1">
        <v>740</v>
      </c>
      <c r="B14" s="1">
        <f t="shared" si="0"/>
        <v>621.6</v>
      </c>
      <c r="C14" s="1">
        <f t="shared" si="1"/>
        <v>984.2</v>
      </c>
      <c r="D14" s="1">
        <f t="shared" si="2"/>
        <v>1280.2</v>
      </c>
      <c r="E14" s="1">
        <f t="shared" si="3"/>
        <v>1931.3999999999999</v>
      </c>
      <c r="H14">
        <v>1001</v>
      </c>
      <c r="I14">
        <v>14</v>
      </c>
      <c r="J14" s="1">
        <v>740</v>
      </c>
      <c r="K14" s="1">
        <f t="shared" si="4"/>
        <v>621.6</v>
      </c>
      <c r="L14" s="1">
        <f t="shared" si="5"/>
        <v>984.2</v>
      </c>
      <c r="M14" s="1">
        <f t="shared" si="6"/>
        <v>1280.2</v>
      </c>
    </row>
    <row r="15" spans="1:13" x14ac:dyDescent="0.2">
      <c r="A15" s="1">
        <v>720</v>
      </c>
      <c r="B15" s="1">
        <f t="shared" si="0"/>
        <v>604.79999999999995</v>
      </c>
      <c r="C15" s="1">
        <f t="shared" si="1"/>
        <v>957.6</v>
      </c>
      <c r="D15" s="1">
        <f t="shared" si="2"/>
        <v>1245.5999999999999</v>
      </c>
      <c r="E15" s="1">
        <f t="shared" si="3"/>
        <v>1879.1999999999998</v>
      </c>
      <c r="H15">
        <v>1001</v>
      </c>
      <c r="I15">
        <v>15</v>
      </c>
      <c r="J15" s="1">
        <v>720</v>
      </c>
      <c r="K15" s="1">
        <f t="shared" si="4"/>
        <v>604.79999999999995</v>
      </c>
      <c r="L15" s="1">
        <f t="shared" si="5"/>
        <v>957.6</v>
      </c>
      <c r="M15" s="1">
        <f t="shared" si="6"/>
        <v>1245.5999999999999</v>
      </c>
    </row>
    <row r="16" spans="1:13" x14ac:dyDescent="0.2">
      <c r="A16" s="1">
        <v>720</v>
      </c>
      <c r="B16" s="1">
        <f t="shared" si="0"/>
        <v>604.79999999999995</v>
      </c>
      <c r="C16" s="1">
        <f t="shared" si="1"/>
        <v>957.6</v>
      </c>
      <c r="D16" s="1">
        <f t="shared" si="2"/>
        <v>1245.5999999999999</v>
      </c>
      <c r="E16" s="1">
        <f t="shared" si="3"/>
        <v>1879.1999999999998</v>
      </c>
      <c r="H16">
        <v>1001</v>
      </c>
      <c r="I16">
        <v>16</v>
      </c>
      <c r="J16" s="1">
        <v>720</v>
      </c>
      <c r="K16" s="1">
        <f t="shared" si="4"/>
        <v>604.79999999999995</v>
      </c>
      <c r="L16" s="1">
        <f t="shared" si="5"/>
        <v>957.6</v>
      </c>
      <c r="M16" s="1">
        <f t="shared" si="6"/>
        <v>1245.5999999999999</v>
      </c>
    </row>
    <row r="17" spans="1:13" x14ac:dyDescent="0.2">
      <c r="A17" s="1">
        <v>760</v>
      </c>
      <c r="B17" s="1">
        <f t="shared" si="0"/>
        <v>638.4</v>
      </c>
      <c r="C17" s="1">
        <f t="shared" si="1"/>
        <v>1010.8000000000001</v>
      </c>
      <c r="D17" s="1">
        <f t="shared" si="2"/>
        <v>1314.8</v>
      </c>
      <c r="E17" s="1">
        <f t="shared" si="3"/>
        <v>1983.6</v>
      </c>
      <c r="H17">
        <v>1001</v>
      </c>
      <c r="I17">
        <v>17</v>
      </c>
      <c r="J17" s="1">
        <v>760</v>
      </c>
      <c r="K17" s="1">
        <f t="shared" si="4"/>
        <v>638.4</v>
      </c>
      <c r="L17" s="1">
        <f t="shared" si="5"/>
        <v>1010.8000000000001</v>
      </c>
      <c r="M17" s="1">
        <f t="shared" si="6"/>
        <v>1314.8</v>
      </c>
    </row>
    <row r="18" spans="1:13" x14ac:dyDescent="0.2">
      <c r="A18" s="1">
        <v>860</v>
      </c>
      <c r="B18" s="1">
        <f t="shared" si="0"/>
        <v>722.4</v>
      </c>
      <c r="C18" s="1">
        <f t="shared" si="1"/>
        <v>1143.8</v>
      </c>
      <c r="D18" s="1">
        <f t="shared" si="2"/>
        <v>1487.8</v>
      </c>
      <c r="E18" s="1">
        <f t="shared" si="3"/>
        <v>2244.6</v>
      </c>
      <c r="H18">
        <v>1001</v>
      </c>
      <c r="I18">
        <v>18</v>
      </c>
      <c r="J18" s="1">
        <v>860</v>
      </c>
      <c r="K18" s="1">
        <f t="shared" si="4"/>
        <v>722.4</v>
      </c>
      <c r="L18" s="1">
        <f t="shared" si="5"/>
        <v>1143.8</v>
      </c>
      <c r="M18" s="1">
        <f t="shared" si="6"/>
        <v>1487.8</v>
      </c>
    </row>
    <row r="19" spans="1:13" x14ac:dyDescent="0.2">
      <c r="A19" s="1">
        <v>2060</v>
      </c>
      <c r="B19" s="1">
        <f t="shared" si="0"/>
        <v>1730.3999999999999</v>
      </c>
      <c r="C19" s="1">
        <f t="shared" si="1"/>
        <v>2739.8</v>
      </c>
      <c r="D19" s="1">
        <f t="shared" si="2"/>
        <v>3563.8</v>
      </c>
      <c r="E19" s="1">
        <f t="shared" si="3"/>
        <v>5376.5999999999995</v>
      </c>
      <c r="H19">
        <v>1001</v>
      </c>
      <c r="I19">
        <v>19</v>
      </c>
      <c r="J19" s="1">
        <v>2060</v>
      </c>
      <c r="K19" s="1">
        <f t="shared" si="4"/>
        <v>1730.3999999999999</v>
      </c>
      <c r="L19" s="1">
        <f t="shared" si="5"/>
        <v>2739.8</v>
      </c>
      <c r="M19" s="1">
        <f t="shared" si="6"/>
        <v>3563.8</v>
      </c>
    </row>
    <row r="20" spans="1:13" x14ac:dyDescent="0.2">
      <c r="A20" s="1">
        <v>2900</v>
      </c>
      <c r="B20" s="1">
        <f t="shared" si="0"/>
        <v>2436</v>
      </c>
      <c r="C20" s="1">
        <f t="shared" si="1"/>
        <v>3857</v>
      </c>
      <c r="D20" s="1">
        <f t="shared" si="2"/>
        <v>5017</v>
      </c>
      <c r="E20" s="1">
        <f t="shared" si="3"/>
        <v>7569</v>
      </c>
      <c r="H20">
        <v>1001</v>
      </c>
      <c r="I20">
        <v>20</v>
      </c>
      <c r="J20" s="1">
        <v>2900</v>
      </c>
      <c r="K20" s="1">
        <f t="shared" si="4"/>
        <v>2436</v>
      </c>
      <c r="L20" s="1">
        <f t="shared" si="5"/>
        <v>3857</v>
      </c>
      <c r="M20" s="1">
        <f t="shared" si="6"/>
        <v>5017</v>
      </c>
    </row>
    <row r="21" spans="1:13" x14ac:dyDescent="0.2">
      <c r="A21" s="1">
        <v>4100</v>
      </c>
      <c r="B21" s="1">
        <f t="shared" si="0"/>
        <v>3444</v>
      </c>
      <c r="C21" s="1">
        <f t="shared" si="1"/>
        <v>5453</v>
      </c>
      <c r="D21" s="1">
        <f t="shared" si="2"/>
        <v>7093</v>
      </c>
      <c r="E21" s="1">
        <f t="shared" si="3"/>
        <v>10701</v>
      </c>
      <c r="H21">
        <v>1001</v>
      </c>
      <c r="I21">
        <v>21</v>
      </c>
      <c r="J21" s="1">
        <v>4100</v>
      </c>
      <c r="K21" s="1">
        <f t="shared" si="4"/>
        <v>3444</v>
      </c>
      <c r="L21" s="1">
        <f t="shared" si="5"/>
        <v>5453</v>
      </c>
      <c r="M21" s="1">
        <f t="shared" si="6"/>
        <v>7093</v>
      </c>
    </row>
    <row r="22" spans="1:13" x14ac:dyDescent="0.2">
      <c r="A22" s="1">
        <v>6100</v>
      </c>
      <c r="B22" s="1">
        <f t="shared" si="0"/>
        <v>5124</v>
      </c>
      <c r="C22" s="1">
        <f t="shared" si="1"/>
        <v>8113</v>
      </c>
      <c r="D22" s="1">
        <f t="shared" si="2"/>
        <v>10553</v>
      </c>
      <c r="E22" s="1">
        <f t="shared" si="3"/>
        <v>15921</v>
      </c>
      <c r="H22">
        <v>1001</v>
      </c>
      <c r="I22">
        <v>22</v>
      </c>
      <c r="J22" s="1">
        <v>6100</v>
      </c>
      <c r="K22" s="1">
        <f t="shared" si="4"/>
        <v>5124</v>
      </c>
      <c r="L22" s="1">
        <f t="shared" si="5"/>
        <v>8113</v>
      </c>
      <c r="M22" s="1">
        <f t="shared" si="6"/>
        <v>10553</v>
      </c>
    </row>
    <row r="23" spans="1:13" x14ac:dyDescent="0.2">
      <c r="A23" s="1">
        <v>4200</v>
      </c>
      <c r="B23" s="1">
        <f t="shared" si="0"/>
        <v>3528</v>
      </c>
      <c r="C23" s="1">
        <f t="shared" si="1"/>
        <v>5586</v>
      </c>
      <c r="D23" s="1">
        <f t="shared" si="2"/>
        <v>7266</v>
      </c>
      <c r="E23" s="1">
        <f t="shared" si="3"/>
        <v>10962</v>
      </c>
      <c r="H23">
        <v>1001</v>
      </c>
      <c r="I23">
        <v>23</v>
      </c>
      <c r="J23" s="1">
        <v>4200</v>
      </c>
      <c r="K23" s="1">
        <f t="shared" si="4"/>
        <v>3528</v>
      </c>
      <c r="L23" s="1">
        <f t="shared" si="5"/>
        <v>5586</v>
      </c>
      <c r="M23" s="1">
        <f t="shared" si="6"/>
        <v>7266</v>
      </c>
    </row>
    <row r="24" spans="1:13" x14ac:dyDescent="0.2">
      <c r="A24" s="1">
        <v>5800</v>
      </c>
      <c r="B24" s="1">
        <f t="shared" si="0"/>
        <v>4872</v>
      </c>
      <c r="C24" s="1">
        <f t="shared" si="1"/>
        <v>7714</v>
      </c>
      <c r="D24" s="1">
        <f t="shared" si="2"/>
        <v>10034</v>
      </c>
      <c r="E24" s="1">
        <f t="shared" si="3"/>
        <v>15138</v>
      </c>
      <c r="H24">
        <v>1001</v>
      </c>
      <c r="I24">
        <v>24</v>
      </c>
      <c r="J24" s="1">
        <v>5800</v>
      </c>
      <c r="K24" s="1">
        <f t="shared" si="4"/>
        <v>4872</v>
      </c>
      <c r="L24" s="1">
        <f t="shared" si="5"/>
        <v>7714</v>
      </c>
      <c r="M24" s="1">
        <f t="shared" si="6"/>
        <v>10034</v>
      </c>
    </row>
    <row r="25" spans="1:13" x14ac:dyDescent="0.2">
      <c r="A25" s="1">
        <v>7940</v>
      </c>
      <c r="B25" s="1">
        <f t="shared" si="0"/>
        <v>6669.5999999999995</v>
      </c>
      <c r="C25" s="1">
        <f t="shared" si="1"/>
        <v>10560.2</v>
      </c>
      <c r="D25" s="1">
        <f t="shared" si="2"/>
        <v>13736.2</v>
      </c>
      <c r="E25" s="1">
        <f t="shared" si="3"/>
        <v>20723.399999999998</v>
      </c>
      <c r="H25">
        <v>1001</v>
      </c>
      <c r="I25">
        <v>25</v>
      </c>
      <c r="J25" s="1">
        <v>7940</v>
      </c>
      <c r="K25" s="1">
        <f t="shared" si="4"/>
        <v>6669.5999999999995</v>
      </c>
      <c r="L25" s="1">
        <f t="shared" si="5"/>
        <v>10560.2</v>
      </c>
      <c r="M25" s="1">
        <f t="shared" si="6"/>
        <v>13736.2</v>
      </c>
    </row>
    <row r="26" spans="1:13" x14ac:dyDescent="0.2">
      <c r="A26" s="1">
        <v>6200</v>
      </c>
      <c r="B26" s="1">
        <f t="shared" si="0"/>
        <v>5208</v>
      </c>
      <c r="C26" s="1">
        <f t="shared" si="1"/>
        <v>8246</v>
      </c>
      <c r="D26" s="1">
        <f t="shared" si="2"/>
        <v>10726</v>
      </c>
      <c r="E26" s="1">
        <f t="shared" si="3"/>
        <v>16182</v>
      </c>
      <c r="H26">
        <v>1001</v>
      </c>
      <c r="I26">
        <v>26</v>
      </c>
      <c r="J26" s="1">
        <v>6200</v>
      </c>
      <c r="K26" s="1">
        <f t="shared" si="4"/>
        <v>5208</v>
      </c>
      <c r="L26" s="1">
        <f t="shared" si="5"/>
        <v>8246</v>
      </c>
      <c r="M26" s="1">
        <f t="shared" si="6"/>
        <v>10726</v>
      </c>
    </row>
    <row r="27" spans="1:13" x14ac:dyDescent="0.2">
      <c r="A27" s="1">
        <v>4700</v>
      </c>
      <c r="B27" s="1">
        <f t="shared" si="0"/>
        <v>3948</v>
      </c>
      <c r="C27" s="1">
        <f t="shared" si="1"/>
        <v>6251</v>
      </c>
      <c r="D27" s="1">
        <f t="shared" si="2"/>
        <v>8131</v>
      </c>
      <c r="E27" s="1">
        <f t="shared" si="3"/>
        <v>12267</v>
      </c>
      <c r="H27">
        <v>1001</v>
      </c>
      <c r="I27">
        <v>27</v>
      </c>
      <c r="J27" s="1">
        <v>4700</v>
      </c>
      <c r="K27" s="1">
        <f t="shared" si="4"/>
        <v>3948</v>
      </c>
      <c r="L27" s="1">
        <f t="shared" si="5"/>
        <v>6251</v>
      </c>
      <c r="M27" s="1">
        <f t="shared" si="6"/>
        <v>8131</v>
      </c>
    </row>
    <row r="28" spans="1:13" x14ac:dyDescent="0.2">
      <c r="A28" s="1">
        <v>3800</v>
      </c>
      <c r="B28" s="1">
        <f t="shared" si="0"/>
        <v>3192</v>
      </c>
      <c r="C28" s="1">
        <f t="shared" si="1"/>
        <v>5054</v>
      </c>
      <c r="D28" s="1">
        <f t="shared" si="2"/>
        <v>6574</v>
      </c>
      <c r="E28" s="1">
        <f t="shared" si="3"/>
        <v>9918</v>
      </c>
      <c r="H28">
        <v>1001</v>
      </c>
      <c r="I28">
        <v>28</v>
      </c>
      <c r="J28" s="1">
        <v>3800</v>
      </c>
      <c r="K28" s="1">
        <f t="shared" si="4"/>
        <v>3192</v>
      </c>
      <c r="L28" s="1">
        <f t="shared" si="5"/>
        <v>5054</v>
      </c>
      <c r="M28" s="1">
        <f t="shared" si="6"/>
        <v>6574</v>
      </c>
    </row>
    <row r="29" spans="1:13" x14ac:dyDescent="0.2">
      <c r="A29" s="1">
        <v>2700</v>
      </c>
      <c r="B29" s="1">
        <f t="shared" si="0"/>
        <v>2268</v>
      </c>
      <c r="C29" s="1">
        <f t="shared" si="1"/>
        <v>3591</v>
      </c>
      <c r="D29" s="1">
        <f t="shared" si="2"/>
        <v>4671</v>
      </c>
      <c r="E29" s="1">
        <f t="shared" si="3"/>
        <v>7047</v>
      </c>
      <c r="H29">
        <v>1001</v>
      </c>
      <c r="I29">
        <v>29</v>
      </c>
      <c r="J29" s="1">
        <v>2700</v>
      </c>
      <c r="K29" s="1">
        <f t="shared" si="4"/>
        <v>2268</v>
      </c>
      <c r="L29" s="1">
        <f t="shared" si="5"/>
        <v>3591</v>
      </c>
      <c r="M29" s="1">
        <f t="shared" si="6"/>
        <v>4671</v>
      </c>
    </row>
    <row r="30" spans="1:13" x14ac:dyDescent="0.2">
      <c r="A30" s="1">
        <v>2140</v>
      </c>
      <c r="B30" s="1">
        <f t="shared" si="0"/>
        <v>1797.6</v>
      </c>
      <c r="C30" s="1">
        <f t="shared" si="1"/>
        <v>2846.2000000000003</v>
      </c>
      <c r="D30" s="1">
        <f t="shared" si="2"/>
        <v>3702.2</v>
      </c>
      <c r="E30" s="1">
        <f t="shared" si="3"/>
        <v>5585.4</v>
      </c>
      <c r="H30">
        <v>1001</v>
      </c>
      <c r="I30">
        <v>30</v>
      </c>
      <c r="J30" s="1">
        <v>2140</v>
      </c>
      <c r="K30" s="1">
        <f t="shared" si="4"/>
        <v>1797.6</v>
      </c>
      <c r="L30" s="1">
        <f t="shared" si="5"/>
        <v>2846.2000000000003</v>
      </c>
      <c r="M30" s="1">
        <f t="shared" si="6"/>
        <v>3702.2</v>
      </c>
    </row>
    <row r="31" spans="1:13" x14ac:dyDescent="0.2">
      <c r="A31" s="1">
        <v>1700</v>
      </c>
      <c r="B31" s="1">
        <f t="shared" si="0"/>
        <v>1428</v>
      </c>
      <c r="C31" s="1">
        <f t="shared" si="1"/>
        <v>2261</v>
      </c>
      <c r="D31" s="1">
        <f t="shared" si="2"/>
        <v>2941</v>
      </c>
      <c r="E31" s="1">
        <f t="shared" si="3"/>
        <v>4437</v>
      </c>
      <c r="H31">
        <v>1001</v>
      </c>
      <c r="I31">
        <v>31</v>
      </c>
      <c r="J31" s="1">
        <v>1700</v>
      </c>
      <c r="K31" s="1">
        <f t="shared" si="4"/>
        <v>1428</v>
      </c>
      <c r="L31" s="1">
        <f t="shared" si="5"/>
        <v>2261</v>
      </c>
      <c r="M31" s="1">
        <f t="shared" si="6"/>
        <v>2941</v>
      </c>
    </row>
    <row r="32" spans="1:13" x14ac:dyDescent="0.2">
      <c r="A32" s="1">
        <v>1360</v>
      </c>
      <c r="B32" s="1">
        <f t="shared" si="0"/>
        <v>1142.3999999999999</v>
      </c>
      <c r="C32" s="1">
        <f t="shared" si="1"/>
        <v>1808.8000000000002</v>
      </c>
      <c r="D32" s="1">
        <f t="shared" si="2"/>
        <v>2352.8000000000002</v>
      </c>
      <c r="E32" s="1">
        <f t="shared" si="3"/>
        <v>3549.6</v>
      </c>
      <c r="H32">
        <v>1001</v>
      </c>
      <c r="I32">
        <v>32</v>
      </c>
      <c r="J32" s="1">
        <v>1360</v>
      </c>
      <c r="K32" s="1">
        <f t="shared" si="4"/>
        <v>1142.3999999999999</v>
      </c>
      <c r="L32" s="1">
        <f t="shared" si="5"/>
        <v>1808.8000000000002</v>
      </c>
      <c r="M32" s="1">
        <f t="shared" si="6"/>
        <v>2352.8000000000002</v>
      </c>
    </row>
    <row r="33" spans="1:13" x14ac:dyDescent="0.2">
      <c r="A33" s="1">
        <v>1140</v>
      </c>
      <c r="B33" s="1">
        <f t="shared" si="0"/>
        <v>957.59999999999991</v>
      </c>
      <c r="C33" s="1">
        <f t="shared" si="1"/>
        <v>1516.2</v>
      </c>
      <c r="D33" s="1">
        <f t="shared" si="2"/>
        <v>1972.2</v>
      </c>
      <c r="E33" s="1">
        <f t="shared" si="3"/>
        <v>2975.3999999999996</v>
      </c>
      <c r="H33">
        <v>1001</v>
      </c>
      <c r="I33">
        <v>33</v>
      </c>
      <c r="J33" s="1">
        <v>1140</v>
      </c>
      <c r="K33" s="1">
        <f t="shared" si="4"/>
        <v>957.59999999999991</v>
      </c>
      <c r="L33" s="1">
        <f t="shared" si="5"/>
        <v>1516.2</v>
      </c>
      <c r="M33" s="1">
        <f t="shared" si="6"/>
        <v>1972.2</v>
      </c>
    </row>
    <row r="34" spans="1:13" x14ac:dyDescent="0.2">
      <c r="A34" s="1">
        <v>980</v>
      </c>
      <c r="B34" s="1">
        <f t="shared" si="0"/>
        <v>823.19999999999993</v>
      </c>
      <c r="C34" s="1">
        <f t="shared" si="1"/>
        <v>1303.4000000000001</v>
      </c>
      <c r="D34" s="1">
        <f t="shared" si="2"/>
        <v>1695.4</v>
      </c>
      <c r="E34" s="1">
        <f t="shared" si="3"/>
        <v>2557.7999999999997</v>
      </c>
      <c r="H34">
        <v>1001</v>
      </c>
      <c r="I34">
        <v>34</v>
      </c>
      <c r="J34" s="1">
        <v>980</v>
      </c>
      <c r="K34" s="1">
        <f t="shared" si="4"/>
        <v>823.19999999999993</v>
      </c>
      <c r="L34" s="1">
        <f t="shared" si="5"/>
        <v>1303.4000000000001</v>
      </c>
      <c r="M34" s="1">
        <f t="shared" si="6"/>
        <v>1695.4</v>
      </c>
    </row>
    <row r="35" spans="1:13" x14ac:dyDescent="0.2">
      <c r="A35" s="1">
        <v>560</v>
      </c>
      <c r="B35" s="1">
        <f t="shared" si="0"/>
        <v>470.4</v>
      </c>
      <c r="C35" s="1">
        <f t="shared" si="1"/>
        <v>744.80000000000007</v>
      </c>
      <c r="D35" s="1">
        <f t="shared" si="2"/>
        <v>968.8</v>
      </c>
      <c r="E35" s="1">
        <f t="shared" si="3"/>
        <v>1461.6</v>
      </c>
      <c r="H35">
        <v>1001</v>
      </c>
      <c r="I35">
        <v>35</v>
      </c>
      <c r="J35" s="1">
        <v>560</v>
      </c>
      <c r="K35" s="1">
        <f t="shared" si="4"/>
        <v>470.4</v>
      </c>
      <c r="L35" s="1">
        <f t="shared" si="5"/>
        <v>744.80000000000007</v>
      </c>
      <c r="M35" s="1">
        <f t="shared" si="6"/>
        <v>968.8</v>
      </c>
    </row>
    <row r="36" spans="1:13" x14ac:dyDescent="0.2">
      <c r="A36" s="1">
        <v>750</v>
      </c>
      <c r="B36" s="1">
        <f t="shared" si="0"/>
        <v>630</v>
      </c>
      <c r="C36" s="1">
        <f t="shared" si="1"/>
        <v>997.5</v>
      </c>
      <c r="D36" s="1">
        <f t="shared" si="2"/>
        <v>1297.5</v>
      </c>
      <c r="E36" s="1">
        <f t="shared" si="3"/>
        <v>1957.5</v>
      </c>
      <c r="H36">
        <v>1001</v>
      </c>
      <c r="I36">
        <v>36</v>
      </c>
      <c r="J36" s="1">
        <v>750</v>
      </c>
      <c r="K36" s="1">
        <f t="shared" si="4"/>
        <v>630</v>
      </c>
      <c r="L36" s="1">
        <f t="shared" si="5"/>
        <v>997.5</v>
      </c>
      <c r="M36" s="1">
        <f t="shared" si="6"/>
        <v>1297.5</v>
      </c>
    </row>
    <row r="37" spans="1:13" x14ac:dyDescent="0.2">
      <c r="A37" s="1">
        <v>690</v>
      </c>
      <c r="B37" s="1">
        <f t="shared" si="0"/>
        <v>579.6</v>
      </c>
      <c r="C37" s="1">
        <f t="shared" si="1"/>
        <v>917.7</v>
      </c>
      <c r="D37" s="1">
        <f t="shared" si="2"/>
        <v>1193.7</v>
      </c>
      <c r="E37" s="1">
        <f t="shared" si="3"/>
        <v>1800.8999999999999</v>
      </c>
      <c r="H37">
        <v>1001</v>
      </c>
      <c r="I37">
        <v>37</v>
      </c>
      <c r="J37" s="1">
        <v>690</v>
      </c>
      <c r="K37" s="1">
        <f t="shared" si="4"/>
        <v>579.6</v>
      </c>
      <c r="L37" s="1">
        <f t="shared" si="5"/>
        <v>917.7</v>
      </c>
      <c r="M37" s="1">
        <f t="shared" si="6"/>
        <v>1193.7</v>
      </c>
    </row>
    <row r="38" spans="1:13" x14ac:dyDescent="0.2">
      <c r="A38" s="1">
        <v>630</v>
      </c>
      <c r="B38" s="1">
        <f t="shared" si="0"/>
        <v>529.19999999999993</v>
      </c>
      <c r="C38" s="1">
        <f t="shared" si="1"/>
        <v>837.90000000000009</v>
      </c>
      <c r="D38" s="1">
        <f t="shared" si="2"/>
        <v>1089.9000000000001</v>
      </c>
      <c r="E38" s="1">
        <f t="shared" si="3"/>
        <v>1644.3</v>
      </c>
      <c r="H38">
        <v>1001</v>
      </c>
      <c r="I38">
        <v>38</v>
      </c>
      <c r="J38" s="1">
        <v>630</v>
      </c>
      <c r="K38" s="1">
        <f t="shared" si="4"/>
        <v>529.19999999999993</v>
      </c>
      <c r="L38" s="1">
        <f t="shared" si="5"/>
        <v>837.90000000000009</v>
      </c>
      <c r="M38" s="1">
        <f t="shared" si="6"/>
        <v>1089.9000000000001</v>
      </c>
    </row>
    <row r="39" spans="1:13" x14ac:dyDescent="0.2">
      <c r="A39" s="1">
        <v>590</v>
      </c>
      <c r="B39" s="1">
        <f t="shared" si="0"/>
        <v>495.59999999999997</v>
      </c>
      <c r="C39" s="1">
        <f t="shared" si="1"/>
        <v>784.7</v>
      </c>
      <c r="D39" s="1">
        <f t="shared" si="2"/>
        <v>1020.7</v>
      </c>
      <c r="E39" s="1">
        <f t="shared" si="3"/>
        <v>1539.8999999999999</v>
      </c>
      <c r="H39">
        <v>1001</v>
      </c>
      <c r="I39">
        <v>39</v>
      </c>
      <c r="J39" s="1">
        <v>590</v>
      </c>
      <c r="K39" s="1">
        <f t="shared" si="4"/>
        <v>495.59999999999997</v>
      </c>
      <c r="L39" s="1">
        <f t="shared" si="5"/>
        <v>784.7</v>
      </c>
      <c r="M39" s="1">
        <f t="shared" si="6"/>
        <v>1020.7</v>
      </c>
    </row>
    <row r="40" spans="1:13" x14ac:dyDescent="0.2">
      <c r="A40" s="1">
        <v>540</v>
      </c>
      <c r="B40" s="1">
        <f t="shared" si="0"/>
        <v>453.59999999999997</v>
      </c>
      <c r="C40" s="1">
        <f t="shared" si="1"/>
        <v>718.2</v>
      </c>
      <c r="D40" s="1">
        <f t="shared" si="2"/>
        <v>934.2</v>
      </c>
      <c r="E40" s="1">
        <f t="shared" si="3"/>
        <v>1409.3999999999999</v>
      </c>
      <c r="H40">
        <v>1001</v>
      </c>
      <c r="I40">
        <v>40</v>
      </c>
      <c r="J40" s="1">
        <v>540</v>
      </c>
      <c r="K40" s="1">
        <f t="shared" si="4"/>
        <v>453.59999999999997</v>
      </c>
      <c r="L40" s="1">
        <f t="shared" si="5"/>
        <v>718.2</v>
      </c>
      <c r="M40" s="1">
        <f t="shared" si="6"/>
        <v>934.2</v>
      </c>
    </row>
    <row r="41" spans="1:13" x14ac:dyDescent="0.2">
      <c r="A41" s="1">
        <v>510</v>
      </c>
      <c r="B41" s="1">
        <f t="shared" si="0"/>
        <v>428.4</v>
      </c>
      <c r="C41" s="1">
        <f t="shared" si="1"/>
        <v>678.30000000000007</v>
      </c>
      <c r="D41" s="1">
        <f t="shared" si="2"/>
        <v>882.3</v>
      </c>
      <c r="E41" s="1">
        <f t="shared" si="3"/>
        <v>1331.1</v>
      </c>
      <c r="H41">
        <v>1001</v>
      </c>
      <c r="I41">
        <v>41</v>
      </c>
      <c r="J41" s="1">
        <v>510</v>
      </c>
      <c r="K41" s="1">
        <f t="shared" si="4"/>
        <v>428.4</v>
      </c>
      <c r="L41" s="1">
        <f t="shared" si="5"/>
        <v>678.30000000000007</v>
      </c>
      <c r="M41" s="1">
        <f t="shared" si="6"/>
        <v>882.3</v>
      </c>
    </row>
    <row r="42" spans="1:13" x14ac:dyDescent="0.2">
      <c r="A42" s="1">
        <v>480</v>
      </c>
      <c r="B42" s="1">
        <f t="shared" si="0"/>
        <v>403.2</v>
      </c>
      <c r="C42" s="1">
        <f t="shared" si="1"/>
        <v>638.40000000000009</v>
      </c>
      <c r="D42" s="1">
        <f t="shared" si="2"/>
        <v>830.4</v>
      </c>
      <c r="E42" s="1">
        <f t="shared" si="3"/>
        <v>1252.8</v>
      </c>
      <c r="H42">
        <v>1001</v>
      </c>
      <c r="I42">
        <v>42</v>
      </c>
      <c r="J42" s="1">
        <v>480</v>
      </c>
      <c r="K42" s="1">
        <f t="shared" si="4"/>
        <v>403.2</v>
      </c>
      <c r="L42" s="1">
        <f t="shared" si="5"/>
        <v>638.40000000000009</v>
      </c>
      <c r="M42" s="1">
        <f t="shared" si="6"/>
        <v>830.4</v>
      </c>
    </row>
    <row r="43" spans="1:13" x14ac:dyDescent="0.2">
      <c r="A43" s="1">
        <v>460</v>
      </c>
      <c r="B43" s="1">
        <f t="shared" si="0"/>
        <v>386.4</v>
      </c>
      <c r="C43" s="1">
        <f t="shared" si="1"/>
        <v>611.80000000000007</v>
      </c>
      <c r="D43" s="1">
        <f t="shared" si="2"/>
        <v>795.8</v>
      </c>
      <c r="E43" s="1">
        <f t="shared" si="3"/>
        <v>1200.5999999999999</v>
      </c>
      <c r="H43">
        <v>1001</v>
      </c>
      <c r="I43">
        <v>43</v>
      </c>
      <c r="J43" s="1">
        <v>460</v>
      </c>
      <c r="K43" s="1">
        <f t="shared" si="4"/>
        <v>386.4</v>
      </c>
      <c r="L43" s="1">
        <f t="shared" si="5"/>
        <v>611.80000000000007</v>
      </c>
      <c r="M43" s="1">
        <f t="shared" si="6"/>
        <v>795.8</v>
      </c>
    </row>
    <row r="44" spans="1:13" x14ac:dyDescent="0.2">
      <c r="A44" s="1">
        <v>430</v>
      </c>
      <c r="B44" s="1">
        <f t="shared" si="0"/>
        <v>361.2</v>
      </c>
      <c r="C44" s="1">
        <f t="shared" si="1"/>
        <v>571.9</v>
      </c>
      <c r="D44" s="1">
        <f t="shared" si="2"/>
        <v>743.9</v>
      </c>
      <c r="E44" s="1">
        <f t="shared" si="3"/>
        <v>1122.3</v>
      </c>
      <c r="H44">
        <v>1001</v>
      </c>
      <c r="I44">
        <v>44</v>
      </c>
      <c r="J44" s="1">
        <v>430</v>
      </c>
      <c r="K44" s="1">
        <f t="shared" si="4"/>
        <v>361.2</v>
      </c>
      <c r="L44" s="1">
        <f t="shared" si="5"/>
        <v>571.9</v>
      </c>
      <c r="M44" s="1">
        <f t="shared" si="6"/>
        <v>743.9</v>
      </c>
    </row>
    <row r="45" spans="1:13" x14ac:dyDescent="0.2">
      <c r="A45" s="1">
        <v>410</v>
      </c>
      <c r="B45" s="1">
        <f t="shared" si="0"/>
        <v>344.4</v>
      </c>
      <c r="C45" s="1">
        <f t="shared" si="1"/>
        <v>545.30000000000007</v>
      </c>
      <c r="D45" s="1">
        <f t="shared" si="2"/>
        <v>709.3</v>
      </c>
      <c r="E45" s="1">
        <f t="shared" si="3"/>
        <v>1070.0999999999999</v>
      </c>
      <c r="H45">
        <v>1001</v>
      </c>
      <c r="I45">
        <v>45</v>
      </c>
      <c r="J45" s="1">
        <v>410</v>
      </c>
      <c r="K45" s="1">
        <f t="shared" si="4"/>
        <v>344.4</v>
      </c>
      <c r="L45" s="1">
        <f t="shared" si="5"/>
        <v>545.30000000000007</v>
      </c>
      <c r="M45" s="1">
        <f t="shared" si="6"/>
        <v>709.3</v>
      </c>
    </row>
    <row r="46" spans="1:13" x14ac:dyDescent="0.2">
      <c r="A46" s="1">
        <v>390</v>
      </c>
      <c r="B46" s="1">
        <f t="shared" si="0"/>
        <v>327.59999999999997</v>
      </c>
      <c r="C46" s="1">
        <f t="shared" si="1"/>
        <v>518.70000000000005</v>
      </c>
      <c r="D46" s="1">
        <f t="shared" si="2"/>
        <v>674.7</v>
      </c>
      <c r="E46" s="1">
        <f t="shared" si="3"/>
        <v>1017.9</v>
      </c>
      <c r="H46">
        <v>1001</v>
      </c>
      <c r="I46">
        <v>46</v>
      </c>
      <c r="J46" s="1">
        <v>390</v>
      </c>
      <c r="K46" s="1">
        <f t="shared" si="4"/>
        <v>327.59999999999997</v>
      </c>
      <c r="L46" s="1">
        <f t="shared" si="5"/>
        <v>518.70000000000005</v>
      </c>
      <c r="M46" s="1">
        <f t="shared" si="6"/>
        <v>674.7</v>
      </c>
    </row>
    <row r="47" spans="1:13" x14ac:dyDescent="0.2">
      <c r="A47" s="1">
        <v>380</v>
      </c>
      <c r="B47" s="1">
        <f t="shared" si="0"/>
        <v>319.2</v>
      </c>
      <c r="C47" s="1">
        <f t="shared" si="1"/>
        <v>505.40000000000003</v>
      </c>
      <c r="D47" s="1">
        <f t="shared" si="2"/>
        <v>657.4</v>
      </c>
      <c r="E47" s="1">
        <f t="shared" si="3"/>
        <v>991.8</v>
      </c>
      <c r="H47">
        <v>1001</v>
      </c>
      <c r="I47">
        <v>47</v>
      </c>
      <c r="J47" s="1">
        <v>380</v>
      </c>
      <c r="K47" s="1">
        <f t="shared" si="4"/>
        <v>319.2</v>
      </c>
      <c r="L47" s="1">
        <f t="shared" si="5"/>
        <v>505.40000000000003</v>
      </c>
      <c r="M47" s="1">
        <f t="shared" si="6"/>
        <v>657.4</v>
      </c>
    </row>
    <row r="48" spans="1:13" x14ac:dyDescent="0.2">
      <c r="A48" s="1">
        <v>360</v>
      </c>
      <c r="B48" s="1">
        <f t="shared" si="0"/>
        <v>302.39999999999998</v>
      </c>
      <c r="C48" s="1">
        <f t="shared" si="1"/>
        <v>478.8</v>
      </c>
      <c r="D48" s="1">
        <f t="shared" si="2"/>
        <v>622.79999999999995</v>
      </c>
      <c r="E48" s="1">
        <f t="shared" si="3"/>
        <v>939.59999999999991</v>
      </c>
      <c r="H48">
        <v>1001</v>
      </c>
      <c r="I48">
        <v>48</v>
      </c>
      <c r="J48" s="1">
        <v>360</v>
      </c>
      <c r="K48" s="1">
        <f t="shared" si="4"/>
        <v>302.39999999999998</v>
      </c>
      <c r="L48" s="1">
        <f t="shared" si="5"/>
        <v>478.8</v>
      </c>
      <c r="M48" s="1">
        <f t="shared" si="6"/>
        <v>622.79999999999995</v>
      </c>
    </row>
    <row r="49" spans="1:13" x14ac:dyDescent="0.2">
      <c r="A49" s="1">
        <v>340</v>
      </c>
      <c r="B49" s="1">
        <f t="shared" si="0"/>
        <v>285.59999999999997</v>
      </c>
      <c r="C49" s="1">
        <f t="shared" si="1"/>
        <v>452.20000000000005</v>
      </c>
      <c r="D49" s="1">
        <f t="shared" si="2"/>
        <v>588.20000000000005</v>
      </c>
      <c r="E49" s="1">
        <f t="shared" si="3"/>
        <v>887.4</v>
      </c>
      <c r="H49">
        <v>1001</v>
      </c>
      <c r="I49">
        <v>49</v>
      </c>
      <c r="J49" s="1">
        <v>340</v>
      </c>
      <c r="K49" s="1">
        <f t="shared" si="4"/>
        <v>285.59999999999997</v>
      </c>
      <c r="L49" s="1">
        <f t="shared" si="5"/>
        <v>452.20000000000005</v>
      </c>
      <c r="M49" s="1">
        <f t="shared" si="6"/>
        <v>588.20000000000005</v>
      </c>
    </row>
    <row r="50" spans="1:13" x14ac:dyDescent="0.2">
      <c r="A50" s="1">
        <v>330</v>
      </c>
      <c r="B50" s="1">
        <f t="shared" si="0"/>
        <v>277.2</v>
      </c>
      <c r="C50" s="1">
        <f t="shared" si="1"/>
        <v>438.90000000000003</v>
      </c>
      <c r="D50" s="1">
        <f t="shared" si="2"/>
        <v>570.9</v>
      </c>
      <c r="E50" s="1">
        <f t="shared" si="3"/>
        <v>861.3</v>
      </c>
      <c r="H50">
        <v>1001</v>
      </c>
      <c r="I50">
        <v>50</v>
      </c>
      <c r="J50" s="1">
        <v>330</v>
      </c>
      <c r="K50" s="1">
        <f t="shared" si="4"/>
        <v>277.2</v>
      </c>
      <c r="L50" s="1">
        <f t="shared" si="5"/>
        <v>438.90000000000003</v>
      </c>
      <c r="M50" s="1">
        <f t="shared" si="6"/>
        <v>570.9</v>
      </c>
    </row>
    <row r="51" spans="1:13" x14ac:dyDescent="0.2">
      <c r="A51" s="1">
        <v>320</v>
      </c>
      <c r="B51" s="1">
        <f t="shared" si="0"/>
        <v>268.8</v>
      </c>
      <c r="C51" s="1">
        <f t="shared" si="1"/>
        <v>425.6</v>
      </c>
      <c r="D51" s="1">
        <f t="shared" si="2"/>
        <v>553.6</v>
      </c>
      <c r="E51" s="1">
        <f t="shared" si="3"/>
        <v>835.19999999999993</v>
      </c>
      <c r="H51">
        <v>1001</v>
      </c>
      <c r="I51">
        <v>51</v>
      </c>
      <c r="J51" s="1">
        <v>320</v>
      </c>
      <c r="K51" s="1">
        <f t="shared" si="4"/>
        <v>268.8</v>
      </c>
      <c r="L51" s="1">
        <f t="shared" si="5"/>
        <v>425.6</v>
      </c>
      <c r="M51" s="1">
        <f t="shared" si="6"/>
        <v>553.6</v>
      </c>
    </row>
    <row r="52" spans="1:13" x14ac:dyDescent="0.2">
      <c r="A52" s="1">
        <v>310</v>
      </c>
      <c r="B52" s="1">
        <f t="shared" si="0"/>
        <v>260.39999999999998</v>
      </c>
      <c r="C52" s="1">
        <f t="shared" si="1"/>
        <v>412.3</v>
      </c>
      <c r="D52" s="1">
        <f t="shared" si="2"/>
        <v>536.29999999999995</v>
      </c>
      <c r="E52" s="1">
        <f t="shared" si="3"/>
        <v>809.09999999999991</v>
      </c>
      <c r="H52">
        <v>1001</v>
      </c>
      <c r="I52">
        <v>52</v>
      </c>
      <c r="J52" s="1">
        <v>310</v>
      </c>
      <c r="K52" s="1">
        <f t="shared" si="4"/>
        <v>260.39999999999998</v>
      </c>
      <c r="L52" s="1">
        <f t="shared" si="5"/>
        <v>412.3</v>
      </c>
      <c r="M52" s="1">
        <f t="shared" si="6"/>
        <v>536.29999999999995</v>
      </c>
    </row>
    <row r="53" spans="1:13" x14ac:dyDescent="0.2">
      <c r="A53" s="1">
        <v>300</v>
      </c>
      <c r="B53" s="1">
        <f t="shared" si="0"/>
        <v>252</v>
      </c>
      <c r="C53" s="1">
        <f t="shared" si="1"/>
        <v>399</v>
      </c>
      <c r="D53" s="1">
        <f t="shared" si="2"/>
        <v>519</v>
      </c>
      <c r="E53" s="1">
        <f t="shared" si="3"/>
        <v>783</v>
      </c>
      <c r="H53">
        <v>1001</v>
      </c>
      <c r="I53">
        <v>53</v>
      </c>
      <c r="J53" s="1">
        <v>300</v>
      </c>
      <c r="K53" s="1">
        <f t="shared" si="4"/>
        <v>252</v>
      </c>
      <c r="L53" s="1">
        <f t="shared" si="5"/>
        <v>399</v>
      </c>
      <c r="M53" s="1">
        <f t="shared" si="6"/>
        <v>519</v>
      </c>
    </row>
    <row r="54" spans="1:13" x14ac:dyDescent="0.2">
      <c r="A54" s="1">
        <v>290</v>
      </c>
      <c r="B54" s="1">
        <f t="shared" si="0"/>
        <v>243.6</v>
      </c>
      <c r="C54" s="1">
        <f t="shared" si="1"/>
        <v>385.70000000000005</v>
      </c>
      <c r="D54" s="1">
        <f t="shared" si="2"/>
        <v>501.7</v>
      </c>
      <c r="E54" s="1">
        <f t="shared" si="3"/>
        <v>756.9</v>
      </c>
      <c r="H54">
        <v>1001</v>
      </c>
      <c r="I54">
        <v>54</v>
      </c>
      <c r="J54" s="1">
        <v>290</v>
      </c>
      <c r="K54" s="1">
        <f t="shared" si="4"/>
        <v>243.6</v>
      </c>
      <c r="L54" s="1">
        <f t="shared" si="5"/>
        <v>385.70000000000005</v>
      </c>
      <c r="M54" s="1">
        <f t="shared" si="6"/>
        <v>501.7</v>
      </c>
    </row>
    <row r="55" spans="1:13" x14ac:dyDescent="0.2">
      <c r="A55" s="1">
        <v>290</v>
      </c>
      <c r="B55" s="1">
        <f t="shared" si="0"/>
        <v>243.6</v>
      </c>
      <c r="C55" s="1">
        <f t="shared" si="1"/>
        <v>385.70000000000005</v>
      </c>
      <c r="D55" s="1">
        <f t="shared" si="2"/>
        <v>501.7</v>
      </c>
      <c r="E55" s="1">
        <f t="shared" si="3"/>
        <v>756.9</v>
      </c>
      <c r="H55">
        <v>1001</v>
      </c>
      <c r="I55">
        <v>55</v>
      </c>
      <c r="J55" s="1">
        <v>290</v>
      </c>
      <c r="K55" s="1">
        <f t="shared" si="4"/>
        <v>243.6</v>
      </c>
      <c r="L55" s="1">
        <f t="shared" si="5"/>
        <v>385.70000000000005</v>
      </c>
      <c r="M55" s="1">
        <f t="shared" si="6"/>
        <v>501.7</v>
      </c>
    </row>
    <row r="56" spans="1:13" x14ac:dyDescent="0.2">
      <c r="A56" s="1">
        <v>290</v>
      </c>
      <c r="B56" s="1">
        <f t="shared" si="0"/>
        <v>243.6</v>
      </c>
      <c r="C56" s="1">
        <f t="shared" si="1"/>
        <v>385.70000000000005</v>
      </c>
      <c r="D56" s="1">
        <f t="shared" si="2"/>
        <v>501.7</v>
      </c>
      <c r="E56" s="1">
        <f t="shared" si="3"/>
        <v>756.9</v>
      </c>
      <c r="H56">
        <v>1001</v>
      </c>
      <c r="I56">
        <v>56</v>
      </c>
      <c r="J56" s="1">
        <v>290</v>
      </c>
      <c r="K56" s="1">
        <f t="shared" si="4"/>
        <v>243.6</v>
      </c>
      <c r="L56" s="1">
        <f t="shared" si="5"/>
        <v>385.70000000000005</v>
      </c>
      <c r="M56" s="1">
        <f t="shared" si="6"/>
        <v>501.7</v>
      </c>
    </row>
    <row r="57" spans="1:13" x14ac:dyDescent="0.2">
      <c r="A57" s="1">
        <v>270</v>
      </c>
      <c r="B57" s="1">
        <f t="shared" si="0"/>
        <v>226.79999999999998</v>
      </c>
      <c r="C57" s="1">
        <f t="shared" si="1"/>
        <v>359.1</v>
      </c>
      <c r="D57" s="1">
        <f t="shared" si="2"/>
        <v>467.1</v>
      </c>
      <c r="E57" s="1">
        <f t="shared" si="3"/>
        <v>704.69999999999993</v>
      </c>
      <c r="H57">
        <v>1001</v>
      </c>
      <c r="I57">
        <v>57</v>
      </c>
      <c r="J57" s="1">
        <v>270</v>
      </c>
      <c r="K57" s="1">
        <f t="shared" si="4"/>
        <v>226.79999999999998</v>
      </c>
      <c r="L57" s="1">
        <f t="shared" si="5"/>
        <v>359.1</v>
      </c>
      <c r="M57" s="1">
        <f t="shared" si="6"/>
        <v>467.1</v>
      </c>
    </row>
    <row r="58" spans="1:13" x14ac:dyDescent="0.2">
      <c r="A58" s="1">
        <v>266</v>
      </c>
      <c r="B58" s="1">
        <f t="shared" si="0"/>
        <v>223.44</v>
      </c>
      <c r="C58" s="1">
        <f t="shared" si="1"/>
        <v>353.78000000000003</v>
      </c>
      <c r="D58" s="1">
        <f t="shared" si="2"/>
        <v>460.18</v>
      </c>
      <c r="E58" s="1">
        <f t="shared" si="3"/>
        <v>694.26</v>
      </c>
      <c r="H58">
        <v>1001</v>
      </c>
      <c r="I58">
        <v>58</v>
      </c>
      <c r="J58" s="1">
        <v>266</v>
      </c>
      <c r="K58" s="1">
        <f t="shared" si="4"/>
        <v>223.44</v>
      </c>
      <c r="L58" s="1">
        <f t="shared" si="5"/>
        <v>353.78000000000003</v>
      </c>
      <c r="M58" s="1">
        <f t="shared" si="6"/>
        <v>460.18</v>
      </c>
    </row>
    <row r="59" spans="1:13" x14ac:dyDescent="0.2">
      <c r="A59" s="1">
        <v>260</v>
      </c>
      <c r="B59" s="1">
        <f t="shared" si="0"/>
        <v>218.4</v>
      </c>
      <c r="C59" s="1">
        <f t="shared" si="1"/>
        <v>345.8</v>
      </c>
      <c r="D59" s="1">
        <f t="shared" si="2"/>
        <v>449.8</v>
      </c>
      <c r="E59" s="1">
        <f t="shared" si="3"/>
        <v>678.6</v>
      </c>
      <c r="H59">
        <v>1001</v>
      </c>
      <c r="I59">
        <v>59</v>
      </c>
      <c r="J59" s="1">
        <v>260</v>
      </c>
      <c r="K59" s="1">
        <f t="shared" si="4"/>
        <v>218.4</v>
      </c>
      <c r="L59" s="1">
        <f t="shared" si="5"/>
        <v>345.8</v>
      </c>
      <c r="M59" s="1">
        <f t="shared" si="6"/>
        <v>449.8</v>
      </c>
    </row>
    <row r="60" spans="1:13" x14ac:dyDescent="0.2">
      <c r="A60" s="1">
        <v>257</v>
      </c>
      <c r="B60" s="1">
        <f t="shared" si="0"/>
        <v>215.88</v>
      </c>
      <c r="C60" s="1">
        <f t="shared" si="1"/>
        <v>341.81</v>
      </c>
      <c r="D60" s="1">
        <f t="shared" si="2"/>
        <v>444.61</v>
      </c>
      <c r="E60" s="1">
        <f t="shared" si="3"/>
        <v>670.77</v>
      </c>
      <c r="H60">
        <v>1001</v>
      </c>
      <c r="I60">
        <v>60</v>
      </c>
      <c r="J60" s="1">
        <v>257</v>
      </c>
      <c r="K60" s="1">
        <f t="shared" si="4"/>
        <v>215.88</v>
      </c>
      <c r="L60" s="1">
        <f t="shared" si="5"/>
        <v>341.81</v>
      </c>
      <c r="M60" s="1">
        <f t="shared" si="6"/>
        <v>444.61</v>
      </c>
    </row>
    <row r="61" spans="1:13" x14ac:dyDescent="0.2">
      <c r="A61" s="1">
        <v>255</v>
      </c>
      <c r="B61" s="1">
        <f t="shared" si="0"/>
        <v>214.2</v>
      </c>
      <c r="C61" s="1">
        <f t="shared" si="1"/>
        <v>339.15000000000003</v>
      </c>
      <c r="D61" s="1">
        <f t="shared" si="2"/>
        <v>441.15</v>
      </c>
      <c r="E61" s="1">
        <f t="shared" si="3"/>
        <v>665.55</v>
      </c>
      <c r="H61">
        <v>1001</v>
      </c>
      <c r="I61">
        <v>61</v>
      </c>
      <c r="J61" s="1">
        <v>255</v>
      </c>
      <c r="K61" s="1">
        <f t="shared" si="4"/>
        <v>214.2</v>
      </c>
      <c r="L61" s="1">
        <f t="shared" si="5"/>
        <v>339.15000000000003</v>
      </c>
      <c r="M61" s="1">
        <f t="shared" si="6"/>
        <v>441.15</v>
      </c>
    </row>
    <row r="62" spans="1:13" x14ac:dyDescent="0.2">
      <c r="A62" s="1">
        <v>252</v>
      </c>
      <c r="B62" s="1">
        <f t="shared" si="0"/>
        <v>211.67999999999998</v>
      </c>
      <c r="C62" s="1">
        <f t="shared" si="1"/>
        <v>335.16</v>
      </c>
      <c r="D62" s="1">
        <f t="shared" si="2"/>
        <v>435.96</v>
      </c>
      <c r="E62" s="1">
        <f t="shared" si="3"/>
        <v>657.71999999999991</v>
      </c>
      <c r="H62">
        <v>1001</v>
      </c>
      <c r="I62">
        <v>62</v>
      </c>
      <c r="J62" s="1">
        <v>252</v>
      </c>
      <c r="K62" s="1">
        <f t="shared" si="4"/>
        <v>211.67999999999998</v>
      </c>
      <c r="L62" s="1">
        <f t="shared" si="5"/>
        <v>335.16</v>
      </c>
      <c r="M62" s="1">
        <f t="shared" si="6"/>
        <v>435.96</v>
      </c>
    </row>
    <row r="63" spans="1:13" x14ac:dyDescent="0.2">
      <c r="A63" s="1">
        <v>249</v>
      </c>
      <c r="B63" s="1">
        <f t="shared" si="0"/>
        <v>209.16</v>
      </c>
      <c r="C63" s="1">
        <f t="shared" si="1"/>
        <v>331.17</v>
      </c>
      <c r="D63" s="1">
        <f t="shared" si="2"/>
        <v>430.77</v>
      </c>
      <c r="E63" s="1">
        <f t="shared" si="3"/>
        <v>649.89</v>
      </c>
      <c r="H63">
        <v>1001</v>
      </c>
      <c r="I63">
        <v>63</v>
      </c>
      <c r="J63" s="1">
        <v>249</v>
      </c>
      <c r="K63" s="1">
        <f t="shared" si="4"/>
        <v>209.16</v>
      </c>
      <c r="L63" s="1">
        <f t="shared" si="5"/>
        <v>331.17</v>
      </c>
      <c r="M63" s="1">
        <f t="shared" si="6"/>
        <v>430.77</v>
      </c>
    </row>
    <row r="64" spans="1:13" x14ac:dyDescent="0.2">
      <c r="A64" s="1">
        <v>246</v>
      </c>
      <c r="B64" s="1">
        <f t="shared" si="0"/>
        <v>206.64</v>
      </c>
      <c r="C64" s="1">
        <f t="shared" si="1"/>
        <v>327.18</v>
      </c>
      <c r="D64" s="1">
        <f t="shared" si="2"/>
        <v>425.58</v>
      </c>
      <c r="E64" s="1">
        <f t="shared" si="3"/>
        <v>642.05999999999995</v>
      </c>
      <c r="H64">
        <v>1001</v>
      </c>
      <c r="I64">
        <v>64</v>
      </c>
      <c r="J64" s="1">
        <v>246</v>
      </c>
      <c r="K64" s="1">
        <f t="shared" si="4"/>
        <v>206.64</v>
      </c>
      <c r="L64" s="1">
        <f t="shared" si="5"/>
        <v>327.18</v>
      </c>
      <c r="M64" s="1">
        <f t="shared" si="6"/>
        <v>425.58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3517-9A6D-4C1F-BD83-49E98A2D605D}">
  <dimension ref="A1:N64"/>
  <sheetViews>
    <sheetView topLeftCell="A26" workbookViewId="0">
      <selection activeCell="D29" sqref="D29"/>
    </sheetView>
  </sheetViews>
  <sheetFormatPr defaultRowHeight="14.25" x14ac:dyDescent="0.2"/>
  <cols>
    <col min="2" max="5" width="9" style="1"/>
  </cols>
  <sheetData>
    <row r="1" spans="1:14" x14ac:dyDescent="0.2">
      <c r="A1">
        <v>98</v>
      </c>
      <c r="B1" s="1">
        <f>A1*0.67</f>
        <v>65.660000000000011</v>
      </c>
      <c r="C1" s="1">
        <f>A1*1.02</f>
        <v>99.960000000000008</v>
      </c>
      <c r="D1" s="1">
        <f>A1*1.3</f>
        <v>127.4</v>
      </c>
      <c r="E1" s="1">
        <f>A1*2.52</f>
        <v>246.96</v>
      </c>
      <c r="I1">
        <v>1004</v>
      </c>
      <c r="J1">
        <v>1</v>
      </c>
      <c r="K1">
        <v>98</v>
      </c>
      <c r="L1" s="1">
        <f>K1*0.67</f>
        <v>65.660000000000011</v>
      </c>
      <c r="M1" s="1">
        <f>K1*1.02</f>
        <v>99.960000000000008</v>
      </c>
      <c r="N1" s="1">
        <f>K1*1.3</f>
        <v>127.4</v>
      </c>
    </row>
    <row r="2" spans="1:14" x14ac:dyDescent="0.2">
      <c r="A2">
        <v>170</v>
      </c>
      <c r="B2" s="1">
        <f t="shared" ref="B2:B64" si="0">A2*0.67</f>
        <v>113.9</v>
      </c>
      <c r="C2" s="1">
        <f t="shared" ref="C2:C64" si="1">A2*1.02</f>
        <v>173.4</v>
      </c>
      <c r="D2" s="1">
        <f t="shared" ref="D2:D64" si="2">A2*1.3</f>
        <v>221</v>
      </c>
      <c r="E2" s="1">
        <f t="shared" ref="E2:E64" si="3">A2*2.52</f>
        <v>428.4</v>
      </c>
      <c r="I2">
        <v>1004</v>
      </c>
      <c r="J2">
        <v>2</v>
      </c>
      <c r="K2">
        <v>170</v>
      </c>
      <c r="L2" s="1">
        <f t="shared" ref="L2:L64" si="4">K2*0.67</f>
        <v>113.9</v>
      </c>
      <c r="M2" s="1">
        <f t="shared" ref="M2:M64" si="5">K2*1.02</f>
        <v>173.4</v>
      </c>
      <c r="N2" s="1">
        <f t="shared" ref="N2:N64" si="6">K2*1.3</f>
        <v>221</v>
      </c>
    </row>
    <row r="3" spans="1:14" x14ac:dyDescent="0.2">
      <c r="A3">
        <v>397</v>
      </c>
      <c r="B3" s="1">
        <f t="shared" si="0"/>
        <v>265.99</v>
      </c>
      <c r="C3" s="1">
        <f t="shared" si="1"/>
        <v>404.94</v>
      </c>
      <c r="D3" s="1">
        <f t="shared" si="2"/>
        <v>516.1</v>
      </c>
      <c r="E3" s="1">
        <f t="shared" si="3"/>
        <v>1000.44</v>
      </c>
      <c r="I3">
        <v>1004</v>
      </c>
      <c r="J3">
        <v>3</v>
      </c>
      <c r="K3">
        <v>397</v>
      </c>
      <c r="L3" s="1">
        <f t="shared" si="4"/>
        <v>265.99</v>
      </c>
      <c r="M3" s="1">
        <f t="shared" si="5"/>
        <v>404.94</v>
      </c>
      <c r="N3" s="1">
        <f t="shared" si="6"/>
        <v>516.1</v>
      </c>
    </row>
    <row r="4" spans="1:14" x14ac:dyDescent="0.2">
      <c r="A4">
        <v>320</v>
      </c>
      <c r="B4" s="1">
        <f t="shared" si="0"/>
        <v>214.4</v>
      </c>
      <c r="C4" s="1">
        <f t="shared" si="1"/>
        <v>326.39999999999998</v>
      </c>
      <c r="D4" s="1">
        <f t="shared" si="2"/>
        <v>416</v>
      </c>
      <c r="E4" s="1">
        <f t="shared" si="3"/>
        <v>806.4</v>
      </c>
      <c r="I4">
        <v>1004</v>
      </c>
      <c r="J4">
        <v>4</v>
      </c>
      <c r="K4">
        <v>320</v>
      </c>
      <c r="L4" s="1">
        <f t="shared" si="4"/>
        <v>214.4</v>
      </c>
      <c r="M4" s="1">
        <f t="shared" si="5"/>
        <v>326.39999999999998</v>
      </c>
      <c r="N4" s="1">
        <f t="shared" si="6"/>
        <v>416</v>
      </c>
    </row>
    <row r="5" spans="1:14" x14ac:dyDescent="0.2">
      <c r="A5">
        <v>270</v>
      </c>
      <c r="B5" s="1">
        <f t="shared" si="0"/>
        <v>180.9</v>
      </c>
      <c r="C5" s="1">
        <f t="shared" si="1"/>
        <v>275.39999999999998</v>
      </c>
      <c r="D5" s="1">
        <f t="shared" si="2"/>
        <v>351</v>
      </c>
      <c r="E5" s="1">
        <f t="shared" si="3"/>
        <v>680.4</v>
      </c>
      <c r="I5">
        <v>1004</v>
      </c>
      <c r="J5">
        <v>5</v>
      </c>
      <c r="K5">
        <v>270</v>
      </c>
      <c r="L5" s="1">
        <f t="shared" si="4"/>
        <v>180.9</v>
      </c>
      <c r="M5" s="1">
        <f t="shared" si="5"/>
        <v>275.39999999999998</v>
      </c>
      <c r="N5" s="1">
        <f t="shared" si="6"/>
        <v>351</v>
      </c>
    </row>
    <row r="6" spans="1:14" x14ac:dyDescent="0.2">
      <c r="A6">
        <v>210</v>
      </c>
      <c r="B6" s="1">
        <f t="shared" si="0"/>
        <v>140.70000000000002</v>
      </c>
      <c r="C6" s="1">
        <f t="shared" si="1"/>
        <v>214.20000000000002</v>
      </c>
      <c r="D6" s="1">
        <f t="shared" si="2"/>
        <v>273</v>
      </c>
      <c r="E6" s="1">
        <f t="shared" si="3"/>
        <v>529.20000000000005</v>
      </c>
      <c r="I6">
        <v>1004</v>
      </c>
      <c r="J6">
        <v>6</v>
      </c>
      <c r="K6">
        <v>210</v>
      </c>
      <c r="L6" s="1">
        <f t="shared" si="4"/>
        <v>140.70000000000002</v>
      </c>
      <c r="M6" s="1">
        <f t="shared" si="5"/>
        <v>214.20000000000002</v>
      </c>
      <c r="N6" s="1">
        <f t="shared" si="6"/>
        <v>273</v>
      </c>
    </row>
    <row r="7" spans="1:14" x14ac:dyDescent="0.2">
      <c r="A7">
        <v>141</v>
      </c>
      <c r="B7" s="1">
        <f t="shared" si="0"/>
        <v>94.47</v>
      </c>
      <c r="C7" s="1">
        <f t="shared" si="1"/>
        <v>143.82</v>
      </c>
      <c r="D7" s="1">
        <f t="shared" si="2"/>
        <v>183.3</v>
      </c>
      <c r="E7" s="1">
        <f t="shared" si="3"/>
        <v>355.32</v>
      </c>
      <c r="I7">
        <v>1004</v>
      </c>
      <c r="J7">
        <v>7</v>
      </c>
      <c r="K7">
        <v>141</v>
      </c>
      <c r="L7" s="1">
        <f t="shared" si="4"/>
        <v>94.47</v>
      </c>
      <c r="M7" s="1">
        <f t="shared" si="5"/>
        <v>143.82</v>
      </c>
      <c r="N7" s="1">
        <f t="shared" si="6"/>
        <v>183.3</v>
      </c>
    </row>
    <row r="8" spans="1:14" x14ac:dyDescent="0.2">
      <c r="A8">
        <v>240</v>
      </c>
      <c r="B8" s="1">
        <f t="shared" si="0"/>
        <v>160.80000000000001</v>
      </c>
      <c r="C8" s="1">
        <f t="shared" si="1"/>
        <v>244.8</v>
      </c>
      <c r="D8" s="1">
        <f t="shared" si="2"/>
        <v>312</v>
      </c>
      <c r="E8" s="1">
        <f t="shared" si="3"/>
        <v>604.79999999999995</v>
      </c>
      <c r="I8">
        <v>1004</v>
      </c>
      <c r="J8">
        <v>8</v>
      </c>
      <c r="K8">
        <v>240</v>
      </c>
      <c r="L8" s="1">
        <f t="shared" si="4"/>
        <v>160.80000000000001</v>
      </c>
      <c r="M8" s="1">
        <f t="shared" si="5"/>
        <v>244.8</v>
      </c>
      <c r="N8" s="1">
        <f t="shared" si="6"/>
        <v>312</v>
      </c>
    </row>
    <row r="9" spans="1:14" x14ac:dyDescent="0.2">
      <c r="A9">
        <v>350</v>
      </c>
      <c r="B9" s="1">
        <f t="shared" si="0"/>
        <v>234.5</v>
      </c>
      <c r="C9" s="1">
        <f t="shared" si="1"/>
        <v>357</v>
      </c>
      <c r="D9" s="1">
        <f t="shared" si="2"/>
        <v>455</v>
      </c>
      <c r="E9" s="1">
        <f t="shared" si="3"/>
        <v>882</v>
      </c>
      <c r="I9">
        <v>1004</v>
      </c>
      <c r="J9">
        <v>9</v>
      </c>
      <c r="K9">
        <v>350</v>
      </c>
      <c r="L9" s="1">
        <f t="shared" si="4"/>
        <v>234.5</v>
      </c>
      <c r="M9" s="1">
        <f t="shared" si="5"/>
        <v>357</v>
      </c>
      <c r="N9" s="1">
        <f t="shared" si="6"/>
        <v>455</v>
      </c>
    </row>
    <row r="10" spans="1:14" x14ac:dyDescent="0.2">
      <c r="A10">
        <v>457</v>
      </c>
      <c r="B10" s="1">
        <f t="shared" si="0"/>
        <v>306.19</v>
      </c>
      <c r="C10" s="1">
        <f t="shared" si="1"/>
        <v>466.14</v>
      </c>
      <c r="D10" s="1">
        <f t="shared" si="2"/>
        <v>594.1</v>
      </c>
      <c r="E10" s="1">
        <f t="shared" si="3"/>
        <v>1151.6400000000001</v>
      </c>
      <c r="I10">
        <v>1004</v>
      </c>
      <c r="J10">
        <v>10</v>
      </c>
      <c r="K10">
        <v>457</v>
      </c>
      <c r="L10" s="1">
        <f t="shared" si="4"/>
        <v>306.19</v>
      </c>
      <c r="M10" s="1">
        <f t="shared" si="5"/>
        <v>466.14</v>
      </c>
      <c r="N10" s="1">
        <f t="shared" si="6"/>
        <v>594.1</v>
      </c>
    </row>
    <row r="11" spans="1:14" x14ac:dyDescent="0.2">
      <c r="A11">
        <v>620</v>
      </c>
      <c r="B11" s="1">
        <f t="shared" si="0"/>
        <v>415.40000000000003</v>
      </c>
      <c r="C11" s="1">
        <f t="shared" si="1"/>
        <v>632.4</v>
      </c>
      <c r="D11" s="1">
        <f t="shared" si="2"/>
        <v>806</v>
      </c>
      <c r="E11" s="1">
        <f t="shared" si="3"/>
        <v>1562.4</v>
      </c>
      <c r="I11">
        <v>1004</v>
      </c>
      <c r="J11">
        <v>11</v>
      </c>
      <c r="K11">
        <v>620</v>
      </c>
      <c r="L11" s="1">
        <f t="shared" si="4"/>
        <v>415.40000000000003</v>
      </c>
      <c r="M11" s="1">
        <f t="shared" si="5"/>
        <v>632.4</v>
      </c>
      <c r="N11" s="1">
        <f t="shared" si="6"/>
        <v>806</v>
      </c>
    </row>
    <row r="12" spans="1:14" x14ac:dyDescent="0.2">
      <c r="A12">
        <v>885</v>
      </c>
      <c r="B12" s="1">
        <f t="shared" si="0"/>
        <v>592.95000000000005</v>
      </c>
      <c r="C12" s="1">
        <f t="shared" si="1"/>
        <v>902.7</v>
      </c>
      <c r="D12" s="1">
        <f t="shared" si="2"/>
        <v>1150.5</v>
      </c>
      <c r="E12" s="1">
        <f t="shared" si="3"/>
        <v>2230.1999999999998</v>
      </c>
      <c r="I12">
        <v>1004</v>
      </c>
      <c r="J12">
        <v>12</v>
      </c>
      <c r="K12">
        <v>885</v>
      </c>
      <c r="L12" s="1">
        <f t="shared" si="4"/>
        <v>592.95000000000005</v>
      </c>
      <c r="M12" s="1">
        <f t="shared" si="5"/>
        <v>902.7</v>
      </c>
      <c r="N12" s="1">
        <f t="shared" si="6"/>
        <v>1150.5</v>
      </c>
    </row>
    <row r="13" spans="1:14" x14ac:dyDescent="0.2">
      <c r="A13">
        <v>860</v>
      </c>
      <c r="B13" s="1">
        <f t="shared" si="0"/>
        <v>576.20000000000005</v>
      </c>
      <c r="C13" s="1">
        <f t="shared" si="1"/>
        <v>877.2</v>
      </c>
      <c r="D13" s="1">
        <f t="shared" si="2"/>
        <v>1118</v>
      </c>
      <c r="E13" s="1">
        <f t="shared" si="3"/>
        <v>2167.1999999999998</v>
      </c>
      <c r="I13">
        <v>1004</v>
      </c>
      <c r="J13">
        <v>13</v>
      </c>
      <c r="K13">
        <v>860</v>
      </c>
      <c r="L13" s="1">
        <f t="shared" si="4"/>
        <v>576.20000000000005</v>
      </c>
      <c r="M13" s="1">
        <f t="shared" si="5"/>
        <v>877.2</v>
      </c>
      <c r="N13" s="1">
        <f t="shared" si="6"/>
        <v>1118</v>
      </c>
    </row>
    <row r="14" spans="1:14" x14ac:dyDescent="0.2">
      <c r="A14">
        <v>660</v>
      </c>
      <c r="B14" s="1">
        <f t="shared" si="0"/>
        <v>442.20000000000005</v>
      </c>
      <c r="C14" s="1">
        <f t="shared" si="1"/>
        <v>673.2</v>
      </c>
      <c r="D14" s="1">
        <f t="shared" si="2"/>
        <v>858</v>
      </c>
      <c r="E14" s="1">
        <f t="shared" si="3"/>
        <v>1663.2</v>
      </c>
      <c r="I14">
        <v>1004</v>
      </c>
      <c r="J14">
        <v>14</v>
      </c>
      <c r="K14">
        <v>660</v>
      </c>
      <c r="L14" s="1">
        <f t="shared" si="4"/>
        <v>442.20000000000005</v>
      </c>
      <c r="M14" s="1">
        <f t="shared" si="5"/>
        <v>673.2</v>
      </c>
      <c r="N14" s="1">
        <f t="shared" si="6"/>
        <v>858</v>
      </c>
    </row>
    <row r="15" spans="1:14" x14ac:dyDescent="0.2">
      <c r="A15">
        <v>500</v>
      </c>
      <c r="B15" s="1">
        <f t="shared" si="0"/>
        <v>335</v>
      </c>
      <c r="C15" s="1">
        <f t="shared" si="1"/>
        <v>510</v>
      </c>
      <c r="D15" s="1">
        <f t="shared" si="2"/>
        <v>650</v>
      </c>
      <c r="E15" s="1">
        <f t="shared" si="3"/>
        <v>1260</v>
      </c>
      <c r="I15">
        <v>1004</v>
      </c>
      <c r="J15">
        <v>15</v>
      </c>
      <c r="K15">
        <v>500</v>
      </c>
      <c r="L15" s="1">
        <f t="shared" si="4"/>
        <v>335</v>
      </c>
      <c r="M15" s="1">
        <f t="shared" si="5"/>
        <v>510</v>
      </c>
      <c r="N15" s="1">
        <f t="shared" si="6"/>
        <v>650</v>
      </c>
    </row>
    <row r="16" spans="1:14" x14ac:dyDescent="0.2">
      <c r="A16">
        <v>425</v>
      </c>
      <c r="B16" s="1">
        <f t="shared" si="0"/>
        <v>284.75</v>
      </c>
      <c r="C16" s="1">
        <f t="shared" si="1"/>
        <v>433.5</v>
      </c>
      <c r="D16" s="1">
        <f t="shared" si="2"/>
        <v>552.5</v>
      </c>
      <c r="E16" s="1">
        <f t="shared" si="3"/>
        <v>1071</v>
      </c>
      <c r="I16">
        <v>1004</v>
      </c>
      <c r="J16">
        <v>16</v>
      </c>
      <c r="K16">
        <v>425</v>
      </c>
      <c r="L16" s="1">
        <f t="shared" si="4"/>
        <v>284.75</v>
      </c>
      <c r="M16" s="1">
        <f t="shared" si="5"/>
        <v>433.5</v>
      </c>
      <c r="N16" s="1">
        <f t="shared" si="6"/>
        <v>552.5</v>
      </c>
    </row>
    <row r="17" spans="1:14" x14ac:dyDescent="0.2">
      <c r="A17">
        <v>355</v>
      </c>
      <c r="B17" s="1">
        <f t="shared" si="0"/>
        <v>237.85000000000002</v>
      </c>
      <c r="C17" s="1">
        <f t="shared" si="1"/>
        <v>362.1</v>
      </c>
      <c r="D17" s="1">
        <f t="shared" si="2"/>
        <v>461.5</v>
      </c>
      <c r="E17" s="1">
        <f t="shared" si="3"/>
        <v>894.6</v>
      </c>
      <c r="I17">
        <v>1004</v>
      </c>
      <c r="J17">
        <v>17</v>
      </c>
      <c r="K17">
        <v>355</v>
      </c>
      <c r="L17" s="1">
        <f t="shared" si="4"/>
        <v>237.85000000000002</v>
      </c>
      <c r="M17" s="1">
        <f t="shared" si="5"/>
        <v>362.1</v>
      </c>
      <c r="N17" s="1">
        <f t="shared" si="6"/>
        <v>461.5</v>
      </c>
    </row>
    <row r="18" spans="1:14" x14ac:dyDescent="0.2">
      <c r="A18">
        <v>398</v>
      </c>
      <c r="B18" s="1">
        <f t="shared" si="0"/>
        <v>266.66000000000003</v>
      </c>
      <c r="C18" s="1">
        <f t="shared" si="1"/>
        <v>405.96</v>
      </c>
      <c r="D18" s="1">
        <f t="shared" si="2"/>
        <v>517.4</v>
      </c>
      <c r="E18" s="1">
        <f t="shared" si="3"/>
        <v>1002.96</v>
      </c>
      <c r="I18">
        <v>1004</v>
      </c>
      <c r="J18">
        <v>18</v>
      </c>
      <c r="K18">
        <v>398</v>
      </c>
      <c r="L18" s="1">
        <f t="shared" si="4"/>
        <v>266.66000000000003</v>
      </c>
      <c r="M18" s="1">
        <f t="shared" si="5"/>
        <v>405.96</v>
      </c>
      <c r="N18" s="1">
        <f t="shared" si="6"/>
        <v>517.4</v>
      </c>
    </row>
    <row r="19" spans="1:14" x14ac:dyDescent="0.2">
      <c r="A19">
        <v>919</v>
      </c>
      <c r="B19" s="1">
        <f t="shared" si="0"/>
        <v>615.73</v>
      </c>
      <c r="C19" s="1">
        <f t="shared" si="1"/>
        <v>937.38</v>
      </c>
      <c r="D19" s="1">
        <f t="shared" si="2"/>
        <v>1194.7</v>
      </c>
      <c r="E19" s="1">
        <f t="shared" si="3"/>
        <v>2315.88</v>
      </c>
      <c r="I19">
        <v>1004</v>
      </c>
      <c r="J19">
        <v>19</v>
      </c>
      <c r="K19">
        <v>919</v>
      </c>
      <c r="L19" s="1">
        <f t="shared" si="4"/>
        <v>615.73</v>
      </c>
      <c r="M19" s="1">
        <f t="shared" si="5"/>
        <v>937.38</v>
      </c>
      <c r="N19" s="1">
        <f t="shared" si="6"/>
        <v>1194.7</v>
      </c>
    </row>
    <row r="20" spans="1:14" x14ac:dyDescent="0.2">
      <c r="A20">
        <v>1825</v>
      </c>
      <c r="B20" s="1">
        <f t="shared" si="0"/>
        <v>1222.75</v>
      </c>
      <c r="C20" s="1">
        <f t="shared" si="1"/>
        <v>1861.5</v>
      </c>
      <c r="D20" s="1">
        <f t="shared" si="2"/>
        <v>2372.5</v>
      </c>
      <c r="E20" s="1">
        <f t="shared" si="3"/>
        <v>4599</v>
      </c>
      <c r="I20">
        <v>1004</v>
      </c>
      <c r="J20">
        <v>20</v>
      </c>
      <c r="K20">
        <v>1825</v>
      </c>
      <c r="L20" s="1">
        <f t="shared" si="4"/>
        <v>1222.75</v>
      </c>
      <c r="M20" s="1">
        <f t="shared" si="5"/>
        <v>1861.5</v>
      </c>
      <c r="N20" s="1">
        <f t="shared" si="6"/>
        <v>2372.5</v>
      </c>
    </row>
    <row r="21" spans="1:14" x14ac:dyDescent="0.2">
      <c r="A21">
        <v>2670</v>
      </c>
      <c r="B21" s="1">
        <f t="shared" si="0"/>
        <v>1788.9</v>
      </c>
      <c r="C21" s="1">
        <f t="shared" si="1"/>
        <v>2723.4</v>
      </c>
      <c r="D21" s="1">
        <f t="shared" si="2"/>
        <v>3471</v>
      </c>
      <c r="E21" s="1">
        <f t="shared" si="3"/>
        <v>6728.4</v>
      </c>
      <c r="I21">
        <v>1004</v>
      </c>
      <c r="J21">
        <v>21</v>
      </c>
      <c r="K21">
        <v>2670</v>
      </c>
      <c r="L21" s="1">
        <f t="shared" si="4"/>
        <v>1788.9</v>
      </c>
      <c r="M21" s="1">
        <f t="shared" si="5"/>
        <v>2723.4</v>
      </c>
      <c r="N21" s="1">
        <f t="shared" si="6"/>
        <v>3471</v>
      </c>
    </row>
    <row r="22" spans="1:14" x14ac:dyDescent="0.2">
      <c r="A22">
        <v>2130</v>
      </c>
      <c r="B22" s="1">
        <f t="shared" si="0"/>
        <v>1427.1000000000001</v>
      </c>
      <c r="C22" s="1">
        <f t="shared" si="1"/>
        <v>2172.6</v>
      </c>
      <c r="D22" s="1">
        <f t="shared" si="2"/>
        <v>2769</v>
      </c>
      <c r="E22" s="1">
        <f t="shared" si="3"/>
        <v>5367.6</v>
      </c>
      <c r="I22">
        <v>1004</v>
      </c>
      <c r="J22">
        <v>22</v>
      </c>
      <c r="K22">
        <v>2130</v>
      </c>
      <c r="L22" s="1">
        <f t="shared" si="4"/>
        <v>1427.1000000000001</v>
      </c>
      <c r="M22" s="1">
        <f t="shared" si="5"/>
        <v>2172.6</v>
      </c>
      <c r="N22" s="1">
        <f t="shared" si="6"/>
        <v>2769</v>
      </c>
    </row>
    <row r="23" spans="1:14" x14ac:dyDescent="0.2">
      <c r="A23">
        <v>1600</v>
      </c>
      <c r="B23" s="1">
        <f t="shared" si="0"/>
        <v>1072</v>
      </c>
      <c r="C23" s="1">
        <f t="shared" si="1"/>
        <v>1632</v>
      </c>
      <c r="D23" s="1">
        <f t="shared" si="2"/>
        <v>2080</v>
      </c>
      <c r="E23" s="1">
        <f t="shared" si="3"/>
        <v>4032</v>
      </c>
      <c r="I23">
        <v>1004</v>
      </c>
      <c r="J23">
        <v>23</v>
      </c>
      <c r="K23">
        <v>1600</v>
      </c>
      <c r="L23" s="1">
        <f t="shared" si="4"/>
        <v>1072</v>
      </c>
      <c r="M23" s="1">
        <f t="shared" si="5"/>
        <v>1632</v>
      </c>
      <c r="N23" s="1">
        <f t="shared" si="6"/>
        <v>2080</v>
      </c>
    </row>
    <row r="24" spans="1:14" x14ac:dyDescent="0.2">
      <c r="A24">
        <v>1205</v>
      </c>
      <c r="B24" s="1">
        <f t="shared" si="0"/>
        <v>807.35</v>
      </c>
      <c r="C24" s="1">
        <f t="shared" si="1"/>
        <v>1229.0999999999999</v>
      </c>
      <c r="D24" s="1">
        <f t="shared" si="2"/>
        <v>1566.5</v>
      </c>
      <c r="E24" s="1">
        <f t="shared" si="3"/>
        <v>3036.6</v>
      </c>
      <c r="I24">
        <v>1004</v>
      </c>
      <c r="J24">
        <v>24</v>
      </c>
      <c r="K24">
        <v>1205</v>
      </c>
      <c r="L24" s="1">
        <f t="shared" si="4"/>
        <v>807.35</v>
      </c>
      <c r="M24" s="1">
        <f t="shared" si="5"/>
        <v>1229.0999999999999</v>
      </c>
      <c r="N24" s="1">
        <f t="shared" si="6"/>
        <v>1566.5</v>
      </c>
    </row>
    <row r="25" spans="1:14" x14ac:dyDescent="0.2">
      <c r="A25">
        <v>830</v>
      </c>
      <c r="B25" s="1">
        <f t="shared" si="0"/>
        <v>556.1</v>
      </c>
      <c r="C25" s="1">
        <f t="shared" si="1"/>
        <v>846.6</v>
      </c>
      <c r="D25" s="1">
        <f t="shared" si="2"/>
        <v>1079</v>
      </c>
      <c r="E25" s="1">
        <f t="shared" si="3"/>
        <v>2091.6</v>
      </c>
      <c r="I25">
        <v>1004</v>
      </c>
      <c r="J25">
        <v>25</v>
      </c>
      <c r="K25">
        <v>830</v>
      </c>
      <c r="L25" s="1">
        <f t="shared" si="4"/>
        <v>556.1</v>
      </c>
      <c r="M25" s="1">
        <f t="shared" si="5"/>
        <v>846.6</v>
      </c>
      <c r="N25" s="1">
        <f t="shared" si="6"/>
        <v>1079</v>
      </c>
    </row>
    <row r="26" spans="1:14" x14ac:dyDescent="0.2">
      <c r="A26">
        <v>640</v>
      </c>
      <c r="B26" s="1">
        <f t="shared" si="0"/>
        <v>428.8</v>
      </c>
      <c r="C26" s="1">
        <f t="shared" si="1"/>
        <v>652.79999999999995</v>
      </c>
      <c r="D26" s="1">
        <f t="shared" si="2"/>
        <v>832</v>
      </c>
      <c r="E26" s="1">
        <f t="shared" si="3"/>
        <v>1612.8</v>
      </c>
      <c r="I26">
        <v>1004</v>
      </c>
      <c r="J26">
        <v>26</v>
      </c>
      <c r="K26">
        <v>640</v>
      </c>
      <c r="L26" s="1">
        <f t="shared" si="4"/>
        <v>428.8</v>
      </c>
      <c r="M26" s="1">
        <f t="shared" si="5"/>
        <v>652.79999999999995</v>
      </c>
      <c r="N26" s="1">
        <f t="shared" si="6"/>
        <v>832</v>
      </c>
    </row>
    <row r="27" spans="1:14" x14ac:dyDescent="0.2">
      <c r="A27">
        <v>510</v>
      </c>
      <c r="B27" s="1">
        <f t="shared" si="0"/>
        <v>341.70000000000005</v>
      </c>
      <c r="C27" s="1">
        <f t="shared" si="1"/>
        <v>520.20000000000005</v>
      </c>
      <c r="D27" s="1">
        <f t="shared" si="2"/>
        <v>663</v>
      </c>
      <c r="E27" s="1">
        <f t="shared" si="3"/>
        <v>1285.2</v>
      </c>
      <c r="I27">
        <v>1004</v>
      </c>
      <c r="J27">
        <v>27</v>
      </c>
      <c r="K27">
        <v>510</v>
      </c>
      <c r="L27" s="1">
        <f t="shared" si="4"/>
        <v>341.70000000000005</v>
      </c>
      <c r="M27" s="1">
        <f t="shared" si="5"/>
        <v>520.20000000000005</v>
      </c>
      <c r="N27" s="1">
        <f t="shared" si="6"/>
        <v>663</v>
      </c>
    </row>
    <row r="28" spans="1:14" x14ac:dyDescent="0.2">
      <c r="A28">
        <v>425</v>
      </c>
      <c r="B28" s="1">
        <f t="shared" si="0"/>
        <v>284.75</v>
      </c>
      <c r="C28" s="1">
        <f t="shared" si="1"/>
        <v>433.5</v>
      </c>
      <c r="D28" s="1">
        <f t="shared" si="2"/>
        <v>552.5</v>
      </c>
      <c r="E28" s="1">
        <f t="shared" si="3"/>
        <v>1071</v>
      </c>
      <c r="I28">
        <v>1004</v>
      </c>
      <c r="J28">
        <v>28</v>
      </c>
      <c r="K28">
        <v>425</v>
      </c>
      <c r="L28" s="1">
        <f t="shared" si="4"/>
        <v>284.75</v>
      </c>
      <c r="M28" s="1">
        <f t="shared" si="5"/>
        <v>433.5</v>
      </c>
      <c r="N28" s="1">
        <f t="shared" si="6"/>
        <v>552.5</v>
      </c>
    </row>
    <row r="29" spans="1:14" x14ac:dyDescent="0.2">
      <c r="A29">
        <v>365</v>
      </c>
      <c r="B29" s="1">
        <f t="shared" si="0"/>
        <v>244.55</v>
      </c>
      <c r="C29" s="1">
        <f t="shared" si="1"/>
        <v>372.3</v>
      </c>
      <c r="D29" s="1">
        <f t="shared" si="2"/>
        <v>474.5</v>
      </c>
      <c r="E29" s="1">
        <f t="shared" si="3"/>
        <v>919.8</v>
      </c>
      <c r="I29">
        <v>1004</v>
      </c>
      <c r="J29">
        <v>29</v>
      </c>
      <c r="K29">
        <v>365</v>
      </c>
      <c r="L29" s="1">
        <f t="shared" si="4"/>
        <v>244.55</v>
      </c>
      <c r="M29" s="1">
        <f t="shared" si="5"/>
        <v>372.3</v>
      </c>
      <c r="N29" s="1">
        <f t="shared" si="6"/>
        <v>474.5</v>
      </c>
    </row>
    <row r="30" spans="1:14" x14ac:dyDescent="0.2">
      <c r="A30">
        <v>322</v>
      </c>
      <c r="B30" s="1">
        <f t="shared" si="0"/>
        <v>215.74</v>
      </c>
      <c r="C30" s="1">
        <f t="shared" si="1"/>
        <v>328.44</v>
      </c>
      <c r="D30" s="1">
        <f t="shared" si="2"/>
        <v>418.6</v>
      </c>
      <c r="E30" s="1">
        <f t="shared" si="3"/>
        <v>811.44</v>
      </c>
      <c r="I30">
        <v>1004</v>
      </c>
      <c r="J30">
        <v>30</v>
      </c>
      <c r="K30">
        <v>322</v>
      </c>
      <c r="L30" s="1">
        <f t="shared" si="4"/>
        <v>215.74</v>
      </c>
      <c r="M30" s="1">
        <f t="shared" si="5"/>
        <v>328.44</v>
      </c>
      <c r="N30" s="1">
        <f t="shared" si="6"/>
        <v>418.6</v>
      </c>
    </row>
    <row r="31" spans="1:14" x14ac:dyDescent="0.2">
      <c r="A31">
        <v>280</v>
      </c>
      <c r="B31" s="1">
        <f t="shared" si="0"/>
        <v>187.60000000000002</v>
      </c>
      <c r="C31" s="1">
        <f t="shared" si="1"/>
        <v>285.60000000000002</v>
      </c>
      <c r="D31" s="1">
        <f t="shared" si="2"/>
        <v>364</v>
      </c>
      <c r="E31" s="1">
        <f t="shared" si="3"/>
        <v>705.6</v>
      </c>
      <c r="I31">
        <v>1004</v>
      </c>
      <c r="J31">
        <v>31</v>
      </c>
      <c r="K31">
        <v>280</v>
      </c>
      <c r="L31" s="1">
        <f t="shared" si="4"/>
        <v>187.60000000000002</v>
      </c>
      <c r="M31" s="1">
        <f t="shared" si="5"/>
        <v>285.60000000000002</v>
      </c>
      <c r="N31" s="1">
        <f t="shared" si="6"/>
        <v>364</v>
      </c>
    </row>
    <row r="32" spans="1:14" x14ac:dyDescent="0.2">
      <c r="A32">
        <v>250</v>
      </c>
      <c r="B32" s="1">
        <f t="shared" si="0"/>
        <v>167.5</v>
      </c>
      <c r="C32" s="1">
        <f t="shared" si="1"/>
        <v>255</v>
      </c>
      <c r="D32" s="1">
        <f t="shared" si="2"/>
        <v>325</v>
      </c>
      <c r="E32" s="1">
        <f t="shared" si="3"/>
        <v>630</v>
      </c>
      <c r="I32">
        <v>1004</v>
      </c>
      <c r="J32">
        <v>32</v>
      </c>
      <c r="K32">
        <v>250</v>
      </c>
      <c r="L32" s="1">
        <f t="shared" si="4"/>
        <v>167.5</v>
      </c>
      <c r="M32" s="1">
        <f t="shared" si="5"/>
        <v>255</v>
      </c>
      <c r="N32" s="1">
        <f t="shared" si="6"/>
        <v>325</v>
      </c>
    </row>
    <row r="33" spans="1:14" x14ac:dyDescent="0.2">
      <c r="A33">
        <v>220</v>
      </c>
      <c r="B33" s="1">
        <f t="shared" si="0"/>
        <v>147.4</v>
      </c>
      <c r="C33" s="1">
        <f t="shared" si="1"/>
        <v>224.4</v>
      </c>
      <c r="D33" s="1">
        <f t="shared" si="2"/>
        <v>286</v>
      </c>
      <c r="E33" s="1">
        <f t="shared" si="3"/>
        <v>554.4</v>
      </c>
      <c r="I33">
        <v>1004</v>
      </c>
      <c r="J33">
        <v>33</v>
      </c>
      <c r="K33">
        <v>220</v>
      </c>
      <c r="L33" s="1">
        <f t="shared" si="4"/>
        <v>147.4</v>
      </c>
      <c r="M33" s="1">
        <f t="shared" si="5"/>
        <v>224.4</v>
      </c>
      <c r="N33" s="1">
        <f t="shared" si="6"/>
        <v>286</v>
      </c>
    </row>
    <row r="34" spans="1:14" x14ac:dyDescent="0.2">
      <c r="A34">
        <v>204</v>
      </c>
      <c r="B34" s="1">
        <f t="shared" si="0"/>
        <v>136.68</v>
      </c>
      <c r="C34" s="1">
        <f t="shared" si="1"/>
        <v>208.08</v>
      </c>
      <c r="D34" s="1">
        <f t="shared" si="2"/>
        <v>265.2</v>
      </c>
      <c r="E34" s="1">
        <f t="shared" si="3"/>
        <v>514.08000000000004</v>
      </c>
      <c r="I34">
        <v>1004</v>
      </c>
      <c r="J34">
        <v>34</v>
      </c>
      <c r="K34">
        <v>204</v>
      </c>
      <c r="L34" s="1">
        <f t="shared" si="4"/>
        <v>136.68</v>
      </c>
      <c r="M34" s="1">
        <f t="shared" si="5"/>
        <v>208.08</v>
      </c>
      <c r="N34" s="1">
        <f t="shared" si="6"/>
        <v>265.2</v>
      </c>
    </row>
    <row r="35" spans="1:14" x14ac:dyDescent="0.2">
      <c r="A35">
        <v>187</v>
      </c>
      <c r="B35" s="1">
        <f t="shared" si="0"/>
        <v>125.29</v>
      </c>
      <c r="C35" s="1">
        <f t="shared" si="1"/>
        <v>190.74</v>
      </c>
      <c r="D35" s="1">
        <f t="shared" si="2"/>
        <v>243.1</v>
      </c>
      <c r="E35" s="1">
        <f t="shared" si="3"/>
        <v>471.24</v>
      </c>
      <c r="I35">
        <v>1004</v>
      </c>
      <c r="J35">
        <v>35</v>
      </c>
      <c r="K35">
        <v>187</v>
      </c>
      <c r="L35" s="1">
        <f t="shared" si="4"/>
        <v>125.29</v>
      </c>
      <c r="M35" s="1">
        <f t="shared" si="5"/>
        <v>190.74</v>
      </c>
      <c r="N35" s="1">
        <f t="shared" si="6"/>
        <v>243.1</v>
      </c>
    </row>
    <row r="36" spans="1:14" x14ac:dyDescent="0.2">
      <c r="A36">
        <v>180</v>
      </c>
      <c r="B36" s="1">
        <f t="shared" si="0"/>
        <v>120.60000000000001</v>
      </c>
      <c r="C36" s="1">
        <f t="shared" si="1"/>
        <v>183.6</v>
      </c>
      <c r="D36" s="1">
        <f t="shared" si="2"/>
        <v>234</v>
      </c>
      <c r="E36" s="1">
        <f t="shared" si="3"/>
        <v>453.6</v>
      </c>
      <c r="I36">
        <v>1004</v>
      </c>
      <c r="J36">
        <v>36</v>
      </c>
      <c r="K36">
        <v>180</v>
      </c>
      <c r="L36" s="1">
        <f t="shared" si="4"/>
        <v>120.60000000000001</v>
      </c>
      <c r="M36" s="1">
        <f t="shared" si="5"/>
        <v>183.6</v>
      </c>
      <c r="N36" s="1">
        <f t="shared" si="6"/>
        <v>234</v>
      </c>
    </row>
    <row r="37" spans="1:14" x14ac:dyDescent="0.2">
      <c r="A37">
        <v>172</v>
      </c>
      <c r="B37" s="1">
        <f t="shared" si="0"/>
        <v>115.24000000000001</v>
      </c>
      <c r="C37" s="1">
        <f t="shared" si="1"/>
        <v>175.44</v>
      </c>
      <c r="D37" s="1">
        <f t="shared" si="2"/>
        <v>223.6</v>
      </c>
      <c r="E37" s="1">
        <f t="shared" si="3"/>
        <v>433.44</v>
      </c>
      <c r="I37">
        <v>1004</v>
      </c>
      <c r="J37">
        <v>37</v>
      </c>
      <c r="K37">
        <v>172</v>
      </c>
      <c r="L37" s="1">
        <f t="shared" si="4"/>
        <v>115.24000000000001</v>
      </c>
      <c r="M37" s="1">
        <f t="shared" si="5"/>
        <v>175.44</v>
      </c>
      <c r="N37" s="1">
        <f t="shared" si="6"/>
        <v>223.6</v>
      </c>
    </row>
    <row r="38" spans="1:14" x14ac:dyDescent="0.2">
      <c r="A38">
        <v>166</v>
      </c>
      <c r="B38" s="1">
        <f t="shared" si="0"/>
        <v>111.22000000000001</v>
      </c>
      <c r="C38" s="1">
        <f t="shared" si="1"/>
        <v>169.32</v>
      </c>
      <c r="D38" s="1">
        <f t="shared" si="2"/>
        <v>215.8</v>
      </c>
      <c r="E38" s="1">
        <f t="shared" si="3"/>
        <v>418.32</v>
      </c>
      <c r="I38">
        <v>1004</v>
      </c>
      <c r="J38">
        <v>38</v>
      </c>
      <c r="K38">
        <v>166</v>
      </c>
      <c r="L38" s="1">
        <f t="shared" si="4"/>
        <v>111.22000000000001</v>
      </c>
      <c r="M38" s="1">
        <f t="shared" si="5"/>
        <v>169.32</v>
      </c>
      <c r="N38" s="1">
        <f t="shared" si="6"/>
        <v>215.8</v>
      </c>
    </row>
    <row r="39" spans="1:14" x14ac:dyDescent="0.2">
      <c r="A39">
        <v>160</v>
      </c>
      <c r="B39" s="1">
        <f t="shared" si="0"/>
        <v>107.2</v>
      </c>
      <c r="C39" s="1">
        <f t="shared" si="1"/>
        <v>163.19999999999999</v>
      </c>
      <c r="D39" s="1">
        <f t="shared" si="2"/>
        <v>208</v>
      </c>
      <c r="E39" s="1">
        <f t="shared" si="3"/>
        <v>403.2</v>
      </c>
      <c r="I39">
        <v>1004</v>
      </c>
      <c r="J39">
        <v>39</v>
      </c>
      <c r="K39">
        <v>160</v>
      </c>
      <c r="L39" s="1">
        <f t="shared" si="4"/>
        <v>107.2</v>
      </c>
      <c r="M39" s="1">
        <f t="shared" si="5"/>
        <v>163.19999999999999</v>
      </c>
      <c r="N39" s="1">
        <f t="shared" si="6"/>
        <v>208</v>
      </c>
    </row>
    <row r="40" spans="1:14" x14ac:dyDescent="0.2">
      <c r="A40">
        <v>154</v>
      </c>
      <c r="B40" s="1">
        <f t="shared" si="0"/>
        <v>103.18</v>
      </c>
      <c r="C40" s="1">
        <f t="shared" si="1"/>
        <v>157.08000000000001</v>
      </c>
      <c r="D40" s="1">
        <f t="shared" si="2"/>
        <v>200.20000000000002</v>
      </c>
      <c r="E40" s="1">
        <f t="shared" si="3"/>
        <v>388.08</v>
      </c>
      <c r="I40">
        <v>1004</v>
      </c>
      <c r="J40">
        <v>40</v>
      </c>
      <c r="K40">
        <v>154</v>
      </c>
      <c r="L40" s="1">
        <f t="shared" si="4"/>
        <v>103.18</v>
      </c>
      <c r="M40" s="1">
        <f t="shared" si="5"/>
        <v>157.08000000000001</v>
      </c>
      <c r="N40" s="1">
        <f t="shared" si="6"/>
        <v>200.20000000000002</v>
      </c>
    </row>
    <row r="41" spans="1:14" x14ac:dyDescent="0.2">
      <c r="A41">
        <v>148</v>
      </c>
      <c r="B41" s="1">
        <f t="shared" si="0"/>
        <v>99.160000000000011</v>
      </c>
      <c r="C41" s="1">
        <f t="shared" si="1"/>
        <v>150.96</v>
      </c>
      <c r="D41" s="1">
        <f t="shared" si="2"/>
        <v>192.4</v>
      </c>
      <c r="E41" s="1">
        <f t="shared" si="3"/>
        <v>372.96</v>
      </c>
      <c r="I41">
        <v>1004</v>
      </c>
      <c r="J41">
        <v>41</v>
      </c>
      <c r="K41">
        <v>148</v>
      </c>
      <c r="L41" s="1">
        <f t="shared" si="4"/>
        <v>99.160000000000011</v>
      </c>
      <c r="M41" s="1">
        <f t="shared" si="5"/>
        <v>150.96</v>
      </c>
      <c r="N41" s="1">
        <f t="shared" si="6"/>
        <v>192.4</v>
      </c>
    </row>
    <row r="42" spans="1:14" x14ac:dyDescent="0.2">
      <c r="A42">
        <v>140</v>
      </c>
      <c r="B42" s="1">
        <f t="shared" si="0"/>
        <v>93.800000000000011</v>
      </c>
      <c r="C42" s="1">
        <f t="shared" si="1"/>
        <v>142.80000000000001</v>
      </c>
      <c r="D42" s="1">
        <f t="shared" si="2"/>
        <v>182</v>
      </c>
      <c r="E42" s="1">
        <f t="shared" si="3"/>
        <v>352.8</v>
      </c>
      <c r="I42">
        <v>1004</v>
      </c>
      <c r="J42">
        <v>42</v>
      </c>
      <c r="K42">
        <v>140</v>
      </c>
      <c r="L42" s="1">
        <f t="shared" si="4"/>
        <v>93.800000000000011</v>
      </c>
      <c r="M42" s="1">
        <f t="shared" si="5"/>
        <v>142.80000000000001</v>
      </c>
      <c r="N42" s="1">
        <f t="shared" si="6"/>
        <v>182</v>
      </c>
    </row>
    <row r="43" spans="1:14" x14ac:dyDescent="0.2">
      <c r="A43">
        <v>132</v>
      </c>
      <c r="B43" s="1">
        <f t="shared" si="0"/>
        <v>88.440000000000012</v>
      </c>
      <c r="C43" s="1">
        <f t="shared" si="1"/>
        <v>134.64000000000001</v>
      </c>
      <c r="D43" s="1">
        <f t="shared" si="2"/>
        <v>171.6</v>
      </c>
      <c r="E43" s="1">
        <f t="shared" si="3"/>
        <v>332.64</v>
      </c>
      <c r="I43">
        <v>1004</v>
      </c>
      <c r="J43">
        <v>43</v>
      </c>
      <c r="K43">
        <v>132</v>
      </c>
      <c r="L43" s="1">
        <f t="shared" si="4"/>
        <v>88.440000000000012</v>
      </c>
      <c r="M43" s="1">
        <f t="shared" si="5"/>
        <v>134.64000000000001</v>
      </c>
      <c r="N43" s="1">
        <f t="shared" si="6"/>
        <v>171.6</v>
      </c>
    </row>
    <row r="44" spans="1:14" x14ac:dyDescent="0.2">
      <c r="A44">
        <v>124</v>
      </c>
      <c r="B44" s="1">
        <f t="shared" si="0"/>
        <v>83.08</v>
      </c>
      <c r="C44" s="1">
        <f t="shared" si="1"/>
        <v>126.48</v>
      </c>
      <c r="D44" s="1">
        <f t="shared" si="2"/>
        <v>161.20000000000002</v>
      </c>
      <c r="E44" s="1">
        <f t="shared" si="3"/>
        <v>312.48</v>
      </c>
      <c r="I44">
        <v>1004</v>
      </c>
      <c r="J44">
        <v>44</v>
      </c>
      <c r="K44">
        <v>124</v>
      </c>
      <c r="L44" s="1">
        <f t="shared" si="4"/>
        <v>83.08</v>
      </c>
      <c r="M44" s="1">
        <f t="shared" si="5"/>
        <v>126.48</v>
      </c>
      <c r="N44" s="1">
        <f t="shared" si="6"/>
        <v>161.20000000000002</v>
      </c>
    </row>
    <row r="45" spans="1:14" x14ac:dyDescent="0.2">
      <c r="A45">
        <v>115</v>
      </c>
      <c r="B45" s="1">
        <f t="shared" si="0"/>
        <v>77.050000000000011</v>
      </c>
      <c r="C45" s="1">
        <f t="shared" si="1"/>
        <v>117.3</v>
      </c>
      <c r="D45" s="1">
        <f t="shared" si="2"/>
        <v>149.5</v>
      </c>
      <c r="E45" s="1">
        <f t="shared" si="3"/>
        <v>289.8</v>
      </c>
      <c r="I45">
        <v>1004</v>
      </c>
      <c r="J45">
        <v>45</v>
      </c>
      <c r="K45">
        <v>115</v>
      </c>
      <c r="L45" s="1">
        <f t="shared" si="4"/>
        <v>77.050000000000011</v>
      </c>
      <c r="M45" s="1">
        <f t="shared" si="5"/>
        <v>117.3</v>
      </c>
      <c r="N45" s="1">
        <f t="shared" si="6"/>
        <v>149.5</v>
      </c>
    </row>
    <row r="46" spans="1:14" x14ac:dyDescent="0.2">
      <c r="A46">
        <v>110</v>
      </c>
      <c r="B46" s="1">
        <f t="shared" si="0"/>
        <v>73.7</v>
      </c>
      <c r="C46" s="1">
        <f t="shared" si="1"/>
        <v>112.2</v>
      </c>
      <c r="D46" s="1">
        <f t="shared" si="2"/>
        <v>143</v>
      </c>
      <c r="E46" s="1">
        <f t="shared" si="3"/>
        <v>277.2</v>
      </c>
      <c r="I46">
        <v>1004</v>
      </c>
      <c r="J46">
        <v>46</v>
      </c>
      <c r="K46">
        <v>110</v>
      </c>
      <c r="L46" s="1">
        <f t="shared" si="4"/>
        <v>73.7</v>
      </c>
      <c r="M46" s="1">
        <f t="shared" si="5"/>
        <v>112.2</v>
      </c>
      <c r="N46" s="1">
        <f t="shared" si="6"/>
        <v>143</v>
      </c>
    </row>
    <row r="47" spans="1:14" x14ac:dyDescent="0.2">
      <c r="A47">
        <v>105</v>
      </c>
      <c r="B47" s="1">
        <f t="shared" si="0"/>
        <v>70.350000000000009</v>
      </c>
      <c r="C47" s="1">
        <f t="shared" si="1"/>
        <v>107.10000000000001</v>
      </c>
      <c r="D47" s="1">
        <f t="shared" si="2"/>
        <v>136.5</v>
      </c>
      <c r="E47" s="1">
        <f t="shared" si="3"/>
        <v>264.60000000000002</v>
      </c>
      <c r="I47">
        <v>1004</v>
      </c>
      <c r="J47">
        <v>47</v>
      </c>
      <c r="K47">
        <v>105</v>
      </c>
      <c r="L47" s="1">
        <f t="shared" si="4"/>
        <v>70.350000000000009</v>
      </c>
      <c r="M47" s="1">
        <f t="shared" si="5"/>
        <v>107.10000000000001</v>
      </c>
      <c r="N47" s="1">
        <f t="shared" si="6"/>
        <v>136.5</v>
      </c>
    </row>
    <row r="48" spans="1:14" x14ac:dyDescent="0.2">
      <c r="A48">
        <v>100</v>
      </c>
      <c r="B48" s="1">
        <f t="shared" si="0"/>
        <v>67</v>
      </c>
      <c r="C48" s="1">
        <f t="shared" si="1"/>
        <v>102</v>
      </c>
      <c r="D48" s="1">
        <f t="shared" si="2"/>
        <v>130</v>
      </c>
      <c r="E48" s="1">
        <f t="shared" si="3"/>
        <v>252</v>
      </c>
      <c r="I48">
        <v>1004</v>
      </c>
      <c r="J48">
        <v>48</v>
      </c>
      <c r="K48">
        <v>100</v>
      </c>
      <c r="L48" s="1">
        <f t="shared" si="4"/>
        <v>67</v>
      </c>
      <c r="M48" s="1">
        <f t="shared" si="5"/>
        <v>102</v>
      </c>
      <c r="N48" s="1">
        <f t="shared" si="6"/>
        <v>130</v>
      </c>
    </row>
    <row r="49" spans="1:14" x14ac:dyDescent="0.2">
      <c r="A49">
        <v>95</v>
      </c>
      <c r="B49" s="1">
        <f t="shared" si="0"/>
        <v>63.650000000000006</v>
      </c>
      <c r="C49" s="1">
        <f t="shared" si="1"/>
        <v>96.9</v>
      </c>
      <c r="D49" s="1">
        <f t="shared" si="2"/>
        <v>123.5</v>
      </c>
      <c r="E49" s="1">
        <f t="shared" si="3"/>
        <v>239.4</v>
      </c>
      <c r="I49">
        <v>1004</v>
      </c>
      <c r="J49">
        <v>49</v>
      </c>
      <c r="K49">
        <v>95</v>
      </c>
      <c r="L49" s="1">
        <f t="shared" si="4"/>
        <v>63.650000000000006</v>
      </c>
      <c r="M49" s="1">
        <f t="shared" si="5"/>
        <v>96.9</v>
      </c>
      <c r="N49" s="1">
        <f t="shared" si="6"/>
        <v>123.5</v>
      </c>
    </row>
    <row r="50" spans="1:14" x14ac:dyDescent="0.2">
      <c r="A50">
        <v>89</v>
      </c>
      <c r="B50" s="1">
        <f t="shared" si="0"/>
        <v>59.63</v>
      </c>
      <c r="C50" s="1">
        <f t="shared" si="1"/>
        <v>90.78</v>
      </c>
      <c r="D50" s="1">
        <f t="shared" si="2"/>
        <v>115.7</v>
      </c>
      <c r="E50" s="1">
        <f t="shared" si="3"/>
        <v>224.28</v>
      </c>
      <c r="I50">
        <v>1004</v>
      </c>
      <c r="J50">
        <v>50</v>
      </c>
      <c r="K50">
        <v>89</v>
      </c>
      <c r="L50" s="1">
        <f t="shared" si="4"/>
        <v>59.63</v>
      </c>
      <c r="M50" s="1">
        <f t="shared" si="5"/>
        <v>90.78</v>
      </c>
      <c r="N50" s="1">
        <f t="shared" si="6"/>
        <v>115.7</v>
      </c>
    </row>
    <row r="51" spans="1:14" x14ac:dyDescent="0.2">
      <c r="A51">
        <v>83</v>
      </c>
      <c r="B51" s="1">
        <f t="shared" si="0"/>
        <v>55.610000000000007</v>
      </c>
      <c r="C51" s="1">
        <f t="shared" si="1"/>
        <v>84.66</v>
      </c>
      <c r="D51" s="1">
        <f t="shared" si="2"/>
        <v>107.9</v>
      </c>
      <c r="E51" s="1">
        <f t="shared" si="3"/>
        <v>209.16</v>
      </c>
      <c r="I51">
        <v>1004</v>
      </c>
      <c r="J51">
        <v>51</v>
      </c>
      <c r="K51">
        <v>83</v>
      </c>
      <c r="L51" s="1">
        <f t="shared" si="4"/>
        <v>55.610000000000007</v>
      </c>
      <c r="M51" s="1">
        <f t="shared" si="5"/>
        <v>84.66</v>
      </c>
      <c r="N51" s="1">
        <f t="shared" si="6"/>
        <v>107.9</v>
      </c>
    </row>
    <row r="52" spans="1:14" x14ac:dyDescent="0.2">
      <c r="A52">
        <v>79</v>
      </c>
      <c r="B52" s="1">
        <f t="shared" si="0"/>
        <v>52.93</v>
      </c>
      <c r="C52" s="1">
        <f t="shared" si="1"/>
        <v>80.58</v>
      </c>
      <c r="D52" s="1">
        <f t="shared" si="2"/>
        <v>102.7</v>
      </c>
      <c r="E52" s="1">
        <f t="shared" si="3"/>
        <v>199.08</v>
      </c>
      <c r="I52">
        <v>1004</v>
      </c>
      <c r="J52">
        <v>52</v>
      </c>
      <c r="K52">
        <v>79</v>
      </c>
      <c r="L52" s="1">
        <f t="shared" si="4"/>
        <v>52.93</v>
      </c>
      <c r="M52" s="1">
        <f t="shared" si="5"/>
        <v>80.58</v>
      </c>
      <c r="N52" s="1">
        <f t="shared" si="6"/>
        <v>102.7</v>
      </c>
    </row>
    <row r="53" spans="1:14" x14ac:dyDescent="0.2">
      <c r="A53">
        <v>74</v>
      </c>
      <c r="B53" s="1">
        <f t="shared" si="0"/>
        <v>49.580000000000005</v>
      </c>
      <c r="C53" s="1">
        <f t="shared" si="1"/>
        <v>75.48</v>
      </c>
      <c r="D53" s="1">
        <f t="shared" si="2"/>
        <v>96.2</v>
      </c>
      <c r="E53" s="1">
        <f t="shared" si="3"/>
        <v>186.48</v>
      </c>
      <c r="I53">
        <v>1004</v>
      </c>
      <c r="J53">
        <v>53</v>
      </c>
      <c r="K53">
        <v>74</v>
      </c>
      <c r="L53" s="1">
        <f t="shared" si="4"/>
        <v>49.580000000000005</v>
      </c>
      <c r="M53" s="1">
        <f t="shared" si="5"/>
        <v>75.48</v>
      </c>
      <c r="N53" s="1">
        <f t="shared" si="6"/>
        <v>96.2</v>
      </c>
    </row>
    <row r="54" spans="1:14" x14ac:dyDescent="0.2">
      <c r="A54">
        <v>70</v>
      </c>
      <c r="B54" s="1">
        <f t="shared" si="0"/>
        <v>46.900000000000006</v>
      </c>
      <c r="C54" s="1">
        <f t="shared" si="1"/>
        <v>71.400000000000006</v>
      </c>
      <c r="D54" s="1">
        <f t="shared" si="2"/>
        <v>91</v>
      </c>
      <c r="E54" s="1">
        <f t="shared" si="3"/>
        <v>176.4</v>
      </c>
      <c r="I54">
        <v>1004</v>
      </c>
      <c r="J54">
        <v>54</v>
      </c>
      <c r="K54">
        <v>70</v>
      </c>
      <c r="L54" s="1">
        <f t="shared" si="4"/>
        <v>46.900000000000006</v>
      </c>
      <c r="M54" s="1">
        <f t="shared" si="5"/>
        <v>71.400000000000006</v>
      </c>
      <c r="N54" s="1">
        <f t="shared" si="6"/>
        <v>91</v>
      </c>
    </row>
    <row r="55" spans="1:14" x14ac:dyDescent="0.2">
      <c r="A55">
        <v>65</v>
      </c>
      <c r="B55" s="1">
        <f t="shared" si="0"/>
        <v>43.550000000000004</v>
      </c>
      <c r="C55" s="1">
        <f t="shared" si="1"/>
        <v>66.3</v>
      </c>
      <c r="D55" s="1">
        <f t="shared" si="2"/>
        <v>84.5</v>
      </c>
      <c r="E55" s="1">
        <f t="shared" si="3"/>
        <v>163.80000000000001</v>
      </c>
      <c r="I55">
        <v>1004</v>
      </c>
      <c r="J55">
        <v>55</v>
      </c>
      <c r="K55">
        <v>65</v>
      </c>
      <c r="L55" s="1">
        <f t="shared" si="4"/>
        <v>43.550000000000004</v>
      </c>
      <c r="M55" s="1">
        <f t="shared" si="5"/>
        <v>66.3</v>
      </c>
      <c r="N55" s="1">
        <f t="shared" si="6"/>
        <v>84.5</v>
      </c>
    </row>
    <row r="56" spans="1:14" x14ac:dyDescent="0.2">
      <c r="A56">
        <v>62</v>
      </c>
      <c r="B56" s="1">
        <f t="shared" si="0"/>
        <v>41.54</v>
      </c>
      <c r="C56" s="1">
        <f t="shared" si="1"/>
        <v>63.24</v>
      </c>
      <c r="D56" s="1">
        <f t="shared" si="2"/>
        <v>80.600000000000009</v>
      </c>
      <c r="E56" s="1">
        <f t="shared" si="3"/>
        <v>156.24</v>
      </c>
      <c r="I56">
        <v>1004</v>
      </c>
      <c r="J56">
        <v>56</v>
      </c>
      <c r="K56">
        <v>62</v>
      </c>
      <c r="L56" s="1">
        <f t="shared" si="4"/>
        <v>41.54</v>
      </c>
      <c r="M56" s="1">
        <f t="shared" si="5"/>
        <v>63.24</v>
      </c>
      <c r="N56" s="1">
        <f t="shared" si="6"/>
        <v>80.600000000000009</v>
      </c>
    </row>
    <row r="57" spans="1:14" x14ac:dyDescent="0.2">
      <c r="A57">
        <v>59</v>
      </c>
      <c r="B57" s="1">
        <f t="shared" si="0"/>
        <v>39.53</v>
      </c>
      <c r="C57" s="1">
        <f t="shared" si="1"/>
        <v>60.18</v>
      </c>
      <c r="D57" s="1">
        <f t="shared" si="2"/>
        <v>76.7</v>
      </c>
      <c r="E57" s="1">
        <f t="shared" si="3"/>
        <v>148.68</v>
      </c>
      <c r="I57">
        <v>1004</v>
      </c>
      <c r="J57">
        <v>57</v>
      </c>
      <c r="K57">
        <v>59</v>
      </c>
      <c r="L57" s="1">
        <f t="shared" si="4"/>
        <v>39.53</v>
      </c>
      <c r="M57" s="1">
        <f t="shared" si="5"/>
        <v>60.18</v>
      </c>
      <c r="N57" s="1">
        <f t="shared" si="6"/>
        <v>76.7</v>
      </c>
    </row>
    <row r="58" spans="1:14" x14ac:dyDescent="0.2">
      <c r="A58">
        <v>62</v>
      </c>
      <c r="B58" s="1">
        <f t="shared" si="0"/>
        <v>41.54</v>
      </c>
      <c r="C58" s="1">
        <f t="shared" si="1"/>
        <v>63.24</v>
      </c>
      <c r="D58" s="1">
        <f t="shared" si="2"/>
        <v>80.600000000000009</v>
      </c>
      <c r="E58" s="1">
        <f t="shared" si="3"/>
        <v>156.24</v>
      </c>
      <c r="I58">
        <v>1004</v>
      </c>
      <c r="J58">
        <v>58</v>
      </c>
      <c r="K58">
        <v>62</v>
      </c>
      <c r="L58" s="1">
        <f t="shared" si="4"/>
        <v>41.54</v>
      </c>
      <c r="M58" s="1">
        <f t="shared" si="5"/>
        <v>63.24</v>
      </c>
      <c r="N58" s="1">
        <f t="shared" si="6"/>
        <v>80.600000000000009</v>
      </c>
    </row>
    <row r="59" spans="1:14" x14ac:dyDescent="0.2">
      <c r="A59">
        <v>65</v>
      </c>
      <c r="B59" s="1">
        <f t="shared" si="0"/>
        <v>43.550000000000004</v>
      </c>
      <c r="C59" s="1">
        <f t="shared" si="1"/>
        <v>66.3</v>
      </c>
      <c r="D59" s="1">
        <f t="shared" si="2"/>
        <v>84.5</v>
      </c>
      <c r="E59" s="1">
        <f t="shared" si="3"/>
        <v>163.80000000000001</v>
      </c>
      <c r="I59">
        <v>1004</v>
      </c>
      <c r="J59">
        <v>59</v>
      </c>
      <c r="K59">
        <v>65</v>
      </c>
      <c r="L59" s="1">
        <f t="shared" si="4"/>
        <v>43.550000000000004</v>
      </c>
      <c r="M59" s="1">
        <f t="shared" si="5"/>
        <v>66.3</v>
      </c>
      <c r="N59" s="1">
        <f t="shared" si="6"/>
        <v>84.5</v>
      </c>
    </row>
    <row r="60" spans="1:14" x14ac:dyDescent="0.2">
      <c r="A60">
        <v>56</v>
      </c>
      <c r="B60" s="1">
        <f t="shared" si="0"/>
        <v>37.520000000000003</v>
      </c>
      <c r="C60" s="1">
        <f t="shared" si="1"/>
        <v>57.120000000000005</v>
      </c>
      <c r="D60" s="1">
        <f t="shared" si="2"/>
        <v>72.8</v>
      </c>
      <c r="E60" s="1">
        <f t="shared" si="3"/>
        <v>141.12</v>
      </c>
      <c r="I60">
        <v>1004</v>
      </c>
      <c r="J60">
        <v>60</v>
      </c>
      <c r="K60">
        <v>56</v>
      </c>
      <c r="L60" s="1">
        <f t="shared" si="4"/>
        <v>37.520000000000003</v>
      </c>
      <c r="M60" s="1">
        <f t="shared" si="5"/>
        <v>57.120000000000005</v>
      </c>
      <c r="N60" s="1">
        <f t="shared" si="6"/>
        <v>72.8</v>
      </c>
    </row>
    <row r="61" spans="1:14" x14ac:dyDescent="0.2">
      <c r="A61">
        <v>47</v>
      </c>
      <c r="B61" s="1">
        <f t="shared" si="0"/>
        <v>31.490000000000002</v>
      </c>
      <c r="C61" s="1">
        <f t="shared" si="1"/>
        <v>47.94</v>
      </c>
      <c r="D61" s="1">
        <f t="shared" si="2"/>
        <v>61.1</v>
      </c>
      <c r="E61" s="1">
        <f t="shared" si="3"/>
        <v>118.44</v>
      </c>
      <c r="I61">
        <v>1004</v>
      </c>
      <c r="J61">
        <v>61</v>
      </c>
      <c r="K61">
        <v>47</v>
      </c>
      <c r="L61" s="1">
        <f t="shared" si="4"/>
        <v>31.490000000000002</v>
      </c>
      <c r="M61" s="1">
        <f t="shared" si="5"/>
        <v>47.94</v>
      </c>
      <c r="N61" s="1">
        <f t="shared" si="6"/>
        <v>61.1</v>
      </c>
    </row>
    <row r="62" spans="1:14" x14ac:dyDescent="0.2">
      <c r="A62">
        <v>48</v>
      </c>
      <c r="B62" s="1">
        <f t="shared" si="0"/>
        <v>32.160000000000004</v>
      </c>
      <c r="C62" s="1">
        <f t="shared" si="1"/>
        <v>48.96</v>
      </c>
      <c r="D62" s="1">
        <f t="shared" si="2"/>
        <v>62.400000000000006</v>
      </c>
      <c r="E62" s="1">
        <f t="shared" si="3"/>
        <v>120.96000000000001</v>
      </c>
      <c r="I62">
        <v>1004</v>
      </c>
      <c r="J62">
        <v>62</v>
      </c>
      <c r="K62">
        <v>48</v>
      </c>
      <c r="L62" s="1">
        <f t="shared" si="4"/>
        <v>32.160000000000004</v>
      </c>
      <c r="M62" s="1">
        <f t="shared" si="5"/>
        <v>48.96</v>
      </c>
      <c r="N62" s="1">
        <f t="shared" si="6"/>
        <v>62.400000000000006</v>
      </c>
    </row>
    <row r="63" spans="1:14" x14ac:dyDescent="0.2">
      <c r="A63">
        <v>49</v>
      </c>
      <c r="B63" s="1">
        <f t="shared" si="0"/>
        <v>32.830000000000005</v>
      </c>
      <c r="C63" s="1">
        <f t="shared" si="1"/>
        <v>49.980000000000004</v>
      </c>
      <c r="D63" s="1">
        <f t="shared" si="2"/>
        <v>63.7</v>
      </c>
      <c r="E63" s="1">
        <f t="shared" si="3"/>
        <v>123.48</v>
      </c>
      <c r="I63">
        <v>1004</v>
      </c>
      <c r="J63">
        <v>63</v>
      </c>
      <c r="K63">
        <v>49</v>
      </c>
      <c r="L63" s="1">
        <f t="shared" si="4"/>
        <v>32.830000000000005</v>
      </c>
      <c r="M63" s="1">
        <f t="shared" si="5"/>
        <v>49.980000000000004</v>
      </c>
      <c r="N63" s="1">
        <f t="shared" si="6"/>
        <v>63.7</v>
      </c>
    </row>
    <row r="64" spans="1:14" x14ac:dyDescent="0.2">
      <c r="A64">
        <v>50</v>
      </c>
      <c r="B64" s="1">
        <f t="shared" si="0"/>
        <v>33.5</v>
      </c>
      <c r="C64" s="1">
        <f t="shared" si="1"/>
        <v>51</v>
      </c>
      <c r="D64" s="1">
        <f t="shared" si="2"/>
        <v>65</v>
      </c>
      <c r="E64" s="1">
        <f t="shared" si="3"/>
        <v>126</v>
      </c>
      <c r="I64">
        <v>1004</v>
      </c>
      <c r="J64">
        <v>64</v>
      </c>
      <c r="K64">
        <v>50</v>
      </c>
      <c r="L64" s="1">
        <f t="shared" si="4"/>
        <v>33.5</v>
      </c>
      <c r="M64" s="1">
        <f t="shared" si="5"/>
        <v>51</v>
      </c>
      <c r="N64" s="1">
        <f t="shared" si="6"/>
        <v>65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4AF7-39C2-4720-85BF-D7145F815907}">
  <dimension ref="A1:D64"/>
  <sheetViews>
    <sheetView topLeftCell="A34" workbookViewId="0">
      <selection activeCell="D3" sqref="D3"/>
    </sheetView>
  </sheetViews>
  <sheetFormatPr defaultRowHeight="14.25" x14ac:dyDescent="0.2"/>
  <sheetData>
    <row r="1" spans="1:4" x14ac:dyDescent="0.2">
      <c r="A1">
        <v>101</v>
      </c>
      <c r="B1">
        <v>240.38</v>
      </c>
      <c r="C1">
        <v>383.79999999999995</v>
      </c>
      <c r="D1">
        <v>501.96999999999997</v>
      </c>
    </row>
    <row r="2" spans="1:4" x14ac:dyDescent="0.2">
      <c r="A2">
        <v>142</v>
      </c>
      <c r="B2">
        <v>337.96</v>
      </c>
      <c r="C2">
        <v>539.6</v>
      </c>
      <c r="D2">
        <v>705.74</v>
      </c>
    </row>
    <row r="3" spans="1:4" x14ac:dyDescent="0.2">
      <c r="A3">
        <v>180</v>
      </c>
      <c r="B3">
        <v>428.4</v>
      </c>
      <c r="C3">
        <v>684</v>
      </c>
      <c r="D3">
        <v>894.59999999999991</v>
      </c>
    </row>
    <row r="4" spans="1:4" x14ac:dyDescent="0.2">
      <c r="A4">
        <v>301</v>
      </c>
      <c r="B4">
        <v>716.38</v>
      </c>
      <c r="C4">
        <v>1143.8</v>
      </c>
      <c r="D4">
        <v>1495.97</v>
      </c>
    </row>
    <row r="5" spans="1:4" x14ac:dyDescent="0.2">
      <c r="A5">
        <v>437</v>
      </c>
      <c r="B5">
        <v>1040.06</v>
      </c>
      <c r="C5">
        <v>1660.6</v>
      </c>
      <c r="D5">
        <v>2171.89</v>
      </c>
    </row>
    <row r="6" spans="1:4" x14ac:dyDescent="0.2">
      <c r="A6">
        <v>678</v>
      </c>
      <c r="B6">
        <v>1613.6399999999999</v>
      </c>
      <c r="C6">
        <v>2576.4</v>
      </c>
      <c r="D6">
        <v>3369.66</v>
      </c>
    </row>
    <row r="7" spans="1:4" x14ac:dyDescent="0.2">
      <c r="A7">
        <v>798</v>
      </c>
      <c r="B7">
        <v>1899.24</v>
      </c>
      <c r="C7">
        <v>3032.3999999999996</v>
      </c>
      <c r="D7">
        <v>3966.06</v>
      </c>
    </row>
    <row r="8" spans="1:4" x14ac:dyDescent="0.2">
      <c r="A8">
        <v>889</v>
      </c>
      <c r="B8">
        <v>2115.8199999999997</v>
      </c>
      <c r="C8">
        <v>3378.2</v>
      </c>
      <c r="D8">
        <v>4418.33</v>
      </c>
    </row>
    <row r="9" spans="1:4" x14ac:dyDescent="0.2">
      <c r="A9">
        <v>906</v>
      </c>
      <c r="B9">
        <v>2156.2799999999997</v>
      </c>
      <c r="C9">
        <v>3442.7999999999997</v>
      </c>
      <c r="D9">
        <v>4502.82</v>
      </c>
    </row>
    <row r="10" spans="1:4" x14ac:dyDescent="0.2">
      <c r="A10">
        <v>978</v>
      </c>
      <c r="B10">
        <v>2327.64</v>
      </c>
      <c r="C10">
        <v>3716.3999999999996</v>
      </c>
      <c r="D10">
        <v>4860.66</v>
      </c>
    </row>
    <row r="11" spans="1:4" x14ac:dyDescent="0.2">
      <c r="A11">
        <v>1011</v>
      </c>
      <c r="B11">
        <v>2406.1799999999998</v>
      </c>
      <c r="C11">
        <v>3841.7999999999997</v>
      </c>
      <c r="D11">
        <v>5024.67</v>
      </c>
    </row>
    <row r="12" spans="1:4" x14ac:dyDescent="0.2">
      <c r="A12">
        <v>1055</v>
      </c>
      <c r="B12">
        <v>2510.9</v>
      </c>
      <c r="C12">
        <v>4009</v>
      </c>
      <c r="D12">
        <v>5243.3499999999995</v>
      </c>
    </row>
    <row r="13" spans="1:4" x14ac:dyDescent="0.2">
      <c r="A13">
        <v>1082</v>
      </c>
      <c r="B13">
        <v>2575.16</v>
      </c>
      <c r="C13">
        <v>4111.5999999999995</v>
      </c>
      <c r="D13">
        <v>5377.54</v>
      </c>
    </row>
    <row r="14" spans="1:4" x14ac:dyDescent="0.2">
      <c r="A14">
        <v>1091</v>
      </c>
      <c r="B14">
        <v>2596.58</v>
      </c>
      <c r="C14">
        <v>4145.8</v>
      </c>
      <c r="D14">
        <v>5422.2699999999995</v>
      </c>
    </row>
    <row r="15" spans="1:4" x14ac:dyDescent="0.2">
      <c r="A15">
        <v>1102</v>
      </c>
      <c r="B15">
        <v>2622.7599999999998</v>
      </c>
      <c r="C15">
        <v>4187.5999999999995</v>
      </c>
      <c r="D15">
        <v>5476.94</v>
      </c>
    </row>
    <row r="16" spans="1:4" x14ac:dyDescent="0.2">
      <c r="A16">
        <v>1122</v>
      </c>
      <c r="B16">
        <v>2670.3599999999997</v>
      </c>
      <c r="C16">
        <v>4263.5999999999995</v>
      </c>
      <c r="D16">
        <v>5576.34</v>
      </c>
    </row>
    <row r="17" spans="1:4" x14ac:dyDescent="0.2">
      <c r="A17">
        <v>1130</v>
      </c>
      <c r="B17">
        <v>2689.4</v>
      </c>
      <c r="C17">
        <v>4294</v>
      </c>
      <c r="D17">
        <v>5616.0999999999995</v>
      </c>
    </row>
    <row r="18" spans="1:4" x14ac:dyDescent="0.2">
      <c r="A18">
        <v>1092</v>
      </c>
      <c r="B18">
        <v>2598.96</v>
      </c>
      <c r="C18">
        <v>4149.5999999999995</v>
      </c>
      <c r="D18">
        <v>5427.24</v>
      </c>
    </row>
    <row r="19" spans="1:4" x14ac:dyDescent="0.2">
      <c r="A19">
        <v>1056</v>
      </c>
      <c r="B19">
        <v>2513.2799999999997</v>
      </c>
      <c r="C19">
        <v>4012.7999999999997</v>
      </c>
      <c r="D19">
        <v>5248.32</v>
      </c>
    </row>
    <row r="20" spans="1:4" x14ac:dyDescent="0.2">
      <c r="A20">
        <v>933</v>
      </c>
      <c r="B20">
        <v>2220.54</v>
      </c>
      <c r="C20">
        <v>3545.3999999999996</v>
      </c>
      <c r="D20">
        <v>4637.01</v>
      </c>
    </row>
    <row r="21" spans="1:4" x14ac:dyDescent="0.2">
      <c r="A21">
        <v>894</v>
      </c>
      <c r="B21">
        <v>2127.7199999999998</v>
      </c>
      <c r="C21">
        <v>3397.2</v>
      </c>
      <c r="D21">
        <v>4443.1799999999994</v>
      </c>
    </row>
    <row r="22" spans="1:4" x14ac:dyDescent="0.2">
      <c r="A22">
        <v>825</v>
      </c>
      <c r="B22">
        <v>1963.5</v>
      </c>
      <c r="C22">
        <v>3135</v>
      </c>
      <c r="D22">
        <v>4100.25</v>
      </c>
    </row>
    <row r="23" spans="1:4" x14ac:dyDescent="0.2">
      <c r="A23">
        <v>755</v>
      </c>
      <c r="B23">
        <v>1796.8999999999999</v>
      </c>
      <c r="C23">
        <v>2869</v>
      </c>
      <c r="D23">
        <v>3752.35</v>
      </c>
    </row>
    <row r="24" spans="1:4" x14ac:dyDescent="0.2">
      <c r="A24">
        <v>699</v>
      </c>
      <c r="B24">
        <v>1663.62</v>
      </c>
      <c r="C24">
        <v>2656.2</v>
      </c>
      <c r="D24">
        <v>3474.0299999999997</v>
      </c>
    </row>
    <row r="25" spans="1:4" x14ac:dyDescent="0.2">
      <c r="A25">
        <v>628</v>
      </c>
      <c r="B25">
        <v>1494.6399999999999</v>
      </c>
      <c r="C25">
        <v>2386.4</v>
      </c>
      <c r="D25">
        <v>3121.16</v>
      </c>
    </row>
    <row r="26" spans="1:4" x14ac:dyDescent="0.2">
      <c r="A26">
        <v>587</v>
      </c>
      <c r="B26">
        <v>1397.06</v>
      </c>
      <c r="C26">
        <v>2230.6</v>
      </c>
      <c r="D26">
        <v>2917.39</v>
      </c>
    </row>
    <row r="27" spans="1:4" x14ac:dyDescent="0.2">
      <c r="A27">
        <v>506</v>
      </c>
      <c r="B27">
        <v>1204.28</v>
      </c>
      <c r="C27">
        <v>1922.8</v>
      </c>
      <c r="D27">
        <v>2514.8199999999997</v>
      </c>
    </row>
    <row r="28" spans="1:4" x14ac:dyDescent="0.2">
      <c r="A28">
        <v>468</v>
      </c>
      <c r="B28">
        <v>1113.8399999999999</v>
      </c>
      <c r="C28">
        <v>1778.3999999999999</v>
      </c>
      <c r="D28">
        <v>2325.96</v>
      </c>
    </row>
    <row r="29" spans="1:4" x14ac:dyDescent="0.2">
      <c r="A29">
        <v>425</v>
      </c>
      <c r="B29">
        <v>1011.5</v>
      </c>
      <c r="C29">
        <v>1615</v>
      </c>
      <c r="D29">
        <v>2112.25</v>
      </c>
    </row>
    <row r="30" spans="1:4" x14ac:dyDescent="0.2">
      <c r="A30">
        <v>396</v>
      </c>
      <c r="B30">
        <v>942.4799999999999</v>
      </c>
      <c r="C30">
        <v>1504.8</v>
      </c>
      <c r="D30">
        <v>1968.12</v>
      </c>
    </row>
    <row r="31" spans="1:4" x14ac:dyDescent="0.2">
      <c r="A31">
        <v>365</v>
      </c>
      <c r="B31">
        <v>868.69999999999993</v>
      </c>
      <c r="C31">
        <v>1387</v>
      </c>
      <c r="D31">
        <v>1814.05</v>
      </c>
    </row>
    <row r="32" spans="1:4" x14ac:dyDescent="0.2">
      <c r="A32">
        <v>325</v>
      </c>
      <c r="B32">
        <v>773.5</v>
      </c>
      <c r="C32">
        <v>1235</v>
      </c>
      <c r="D32">
        <v>1615.25</v>
      </c>
    </row>
    <row r="33" spans="1:4" x14ac:dyDescent="0.2">
      <c r="A33">
        <v>298</v>
      </c>
      <c r="B33">
        <v>709.24</v>
      </c>
      <c r="C33">
        <v>1132.3999999999999</v>
      </c>
      <c r="D33">
        <v>1481.06</v>
      </c>
    </row>
    <row r="34" spans="1:4" x14ac:dyDescent="0.2">
      <c r="A34">
        <v>285</v>
      </c>
      <c r="B34">
        <v>678.3</v>
      </c>
      <c r="C34">
        <v>1083</v>
      </c>
      <c r="D34">
        <v>1416.4499999999998</v>
      </c>
    </row>
    <row r="35" spans="1:4" x14ac:dyDescent="0.2">
      <c r="A35">
        <v>276</v>
      </c>
      <c r="B35">
        <v>656.88</v>
      </c>
      <c r="C35">
        <v>1048.8</v>
      </c>
      <c r="D35">
        <v>1371.72</v>
      </c>
    </row>
    <row r="36" spans="1:4" x14ac:dyDescent="0.2">
      <c r="A36">
        <v>275</v>
      </c>
      <c r="B36">
        <v>654.5</v>
      </c>
      <c r="C36">
        <v>1045</v>
      </c>
      <c r="D36">
        <v>1366.75</v>
      </c>
    </row>
    <row r="37" spans="1:4" x14ac:dyDescent="0.2">
      <c r="A37">
        <v>268</v>
      </c>
      <c r="B37">
        <v>637.83999999999992</v>
      </c>
      <c r="C37">
        <v>1018.4</v>
      </c>
      <c r="D37">
        <v>1331.96</v>
      </c>
    </row>
    <row r="38" spans="1:4" x14ac:dyDescent="0.2">
      <c r="A38">
        <v>261</v>
      </c>
      <c r="B38">
        <v>621.17999999999995</v>
      </c>
      <c r="C38">
        <v>991.8</v>
      </c>
      <c r="D38">
        <v>1297.1699999999998</v>
      </c>
    </row>
    <row r="39" spans="1:4" x14ac:dyDescent="0.2">
      <c r="A39">
        <v>258</v>
      </c>
      <c r="B39">
        <v>614.04</v>
      </c>
      <c r="C39">
        <v>980.4</v>
      </c>
      <c r="D39">
        <v>1282.26</v>
      </c>
    </row>
    <row r="40" spans="1:4" x14ac:dyDescent="0.2">
      <c r="A40">
        <v>242</v>
      </c>
      <c r="B40">
        <v>575.95999999999992</v>
      </c>
      <c r="C40">
        <v>919.59999999999991</v>
      </c>
      <c r="D40">
        <v>1202.74</v>
      </c>
    </row>
    <row r="41" spans="1:4" x14ac:dyDescent="0.2">
      <c r="A41">
        <v>235</v>
      </c>
      <c r="B41">
        <v>559.29999999999995</v>
      </c>
      <c r="C41">
        <v>893</v>
      </c>
      <c r="D41">
        <v>1167.95</v>
      </c>
    </row>
    <row r="42" spans="1:4" x14ac:dyDescent="0.2">
      <c r="A42">
        <v>229</v>
      </c>
      <c r="B42">
        <v>545.02</v>
      </c>
      <c r="C42">
        <v>870.19999999999993</v>
      </c>
      <c r="D42">
        <v>1138.1299999999999</v>
      </c>
    </row>
    <row r="43" spans="1:4" x14ac:dyDescent="0.2">
      <c r="A43">
        <v>213</v>
      </c>
      <c r="B43">
        <v>506.94</v>
      </c>
      <c r="C43">
        <v>809.4</v>
      </c>
      <c r="D43">
        <v>1058.6099999999999</v>
      </c>
    </row>
    <row r="44" spans="1:4" x14ac:dyDescent="0.2">
      <c r="A44">
        <v>221</v>
      </c>
      <c r="B44">
        <v>525.98</v>
      </c>
      <c r="C44">
        <v>839.8</v>
      </c>
      <c r="D44">
        <v>1098.3699999999999</v>
      </c>
    </row>
    <row r="45" spans="1:4" x14ac:dyDescent="0.2">
      <c r="A45">
        <v>226</v>
      </c>
      <c r="B45">
        <v>537.88</v>
      </c>
      <c r="C45">
        <v>858.8</v>
      </c>
      <c r="D45">
        <v>1123.22</v>
      </c>
    </row>
    <row r="46" spans="1:4" x14ac:dyDescent="0.2">
      <c r="A46">
        <v>227</v>
      </c>
      <c r="B46">
        <v>540.26</v>
      </c>
      <c r="C46">
        <v>862.59999999999991</v>
      </c>
      <c r="D46">
        <v>1128.19</v>
      </c>
    </row>
    <row r="47" spans="1:4" x14ac:dyDescent="0.2">
      <c r="A47">
        <v>229</v>
      </c>
      <c r="B47">
        <v>545.02</v>
      </c>
      <c r="C47">
        <v>870.19999999999993</v>
      </c>
      <c r="D47">
        <v>1138.1299999999999</v>
      </c>
    </row>
    <row r="48" spans="1:4" x14ac:dyDescent="0.2">
      <c r="A48">
        <v>231</v>
      </c>
      <c r="B48">
        <v>549.78</v>
      </c>
      <c r="C48">
        <v>877.8</v>
      </c>
      <c r="D48">
        <v>1148.07</v>
      </c>
    </row>
    <row r="49" spans="1:4" x14ac:dyDescent="0.2">
      <c r="A49">
        <v>225</v>
      </c>
      <c r="B49">
        <v>535.5</v>
      </c>
      <c r="C49">
        <v>855</v>
      </c>
      <c r="D49">
        <v>1118.25</v>
      </c>
    </row>
    <row r="50" spans="1:4" x14ac:dyDescent="0.2">
      <c r="A50">
        <v>219</v>
      </c>
      <c r="B50">
        <v>521.22</v>
      </c>
      <c r="C50">
        <v>832.19999999999993</v>
      </c>
      <c r="D50">
        <v>1088.4299999999998</v>
      </c>
    </row>
    <row r="51" spans="1:4" x14ac:dyDescent="0.2">
      <c r="A51">
        <v>208</v>
      </c>
      <c r="B51">
        <v>495.03999999999996</v>
      </c>
      <c r="C51">
        <v>790.4</v>
      </c>
      <c r="D51">
        <v>1033.76</v>
      </c>
    </row>
    <row r="52" spans="1:4" x14ac:dyDescent="0.2">
      <c r="A52">
        <v>198</v>
      </c>
      <c r="B52">
        <v>471.23999999999995</v>
      </c>
      <c r="C52">
        <v>752.4</v>
      </c>
      <c r="D52">
        <v>984.06</v>
      </c>
    </row>
    <row r="53" spans="1:4" x14ac:dyDescent="0.2">
      <c r="A53">
        <v>192</v>
      </c>
      <c r="B53">
        <v>456.96</v>
      </c>
      <c r="C53">
        <v>729.59999999999991</v>
      </c>
      <c r="D53">
        <v>954.24</v>
      </c>
    </row>
    <row r="54" spans="1:4" x14ac:dyDescent="0.2">
      <c r="A54">
        <v>190</v>
      </c>
      <c r="B54">
        <v>452.2</v>
      </c>
      <c r="C54">
        <v>722</v>
      </c>
      <c r="D54">
        <v>944.3</v>
      </c>
    </row>
    <row r="55" spans="1:4" x14ac:dyDescent="0.2">
      <c r="A55">
        <v>188</v>
      </c>
      <c r="B55">
        <v>447.44</v>
      </c>
      <c r="C55">
        <v>714.4</v>
      </c>
      <c r="D55">
        <v>934.3599999999999</v>
      </c>
    </row>
    <row r="56" spans="1:4" x14ac:dyDescent="0.2">
      <c r="A56">
        <v>184</v>
      </c>
      <c r="B56">
        <v>437.91999999999996</v>
      </c>
      <c r="C56">
        <v>699.19999999999993</v>
      </c>
      <c r="D56">
        <v>914.4799999999999</v>
      </c>
    </row>
    <row r="57" spans="1:4" x14ac:dyDescent="0.2">
      <c r="A57">
        <v>181</v>
      </c>
      <c r="B57">
        <v>430.78</v>
      </c>
      <c r="C57">
        <v>687.8</v>
      </c>
      <c r="D57">
        <v>899.56999999999994</v>
      </c>
    </row>
    <row r="58" spans="1:4" x14ac:dyDescent="0.2">
      <c r="A58">
        <v>176</v>
      </c>
      <c r="B58">
        <v>418.88</v>
      </c>
      <c r="C58">
        <v>668.8</v>
      </c>
      <c r="D58">
        <v>874.71999999999991</v>
      </c>
    </row>
    <row r="59" spans="1:4" x14ac:dyDescent="0.2">
      <c r="A59">
        <v>172</v>
      </c>
      <c r="B59">
        <v>409.35999999999996</v>
      </c>
      <c r="C59">
        <v>653.6</v>
      </c>
      <c r="D59">
        <v>854.83999999999992</v>
      </c>
    </row>
    <row r="60" spans="1:4" x14ac:dyDescent="0.2">
      <c r="A60">
        <v>165</v>
      </c>
      <c r="B60">
        <v>392.7</v>
      </c>
      <c r="C60">
        <v>627</v>
      </c>
      <c r="D60">
        <v>820.05</v>
      </c>
    </row>
    <row r="61" spans="1:4" x14ac:dyDescent="0.2">
      <c r="A61">
        <v>162</v>
      </c>
      <c r="B61">
        <v>385.56</v>
      </c>
      <c r="C61">
        <v>615.6</v>
      </c>
      <c r="D61">
        <v>805.14</v>
      </c>
    </row>
    <row r="62" spans="1:4" x14ac:dyDescent="0.2">
      <c r="A62">
        <v>155</v>
      </c>
      <c r="B62">
        <v>368.9</v>
      </c>
      <c r="C62">
        <v>589</v>
      </c>
      <c r="D62">
        <v>770.34999999999991</v>
      </c>
    </row>
    <row r="63" spans="1:4" x14ac:dyDescent="0.2">
      <c r="A63">
        <v>148</v>
      </c>
      <c r="B63">
        <v>352.24</v>
      </c>
      <c r="C63">
        <v>562.4</v>
      </c>
      <c r="D63">
        <v>735.56</v>
      </c>
    </row>
    <row r="64" spans="1:4" x14ac:dyDescent="0.2">
      <c r="A64">
        <v>141</v>
      </c>
      <c r="B64">
        <v>335.58</v>
      </c>
      <c r="C64">
        <v>535.79999999999995</v>
      </c>
      <c r="D64">
        <v>700.77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60B8-41C0-4A0F-A18F-9C150BAE02F1}">
  <dimension ref="A1:D64"/>
  <sheetViews>
    <sheetView workbookViewId="0">
      <selection activeCell="I34" sqref="I34"/>
    </sheetView>
  </sheetViews>
  <sheetFormatPr defaultRowHeight="14.25" x14ac:dyDescent="0.2"/>
  <sheetData>
    <row r="1" spans="1:4" x14ac:dyDescent="0.2">
      <c r="A1">
        <v>180</v>
      </c>
      <c r="B1">
        <v>300.59999999999997</v>
      </c>
      <c r="C1">
        <v>486.00000000000006</v>
      </c>
      <c r="D1">
        <v>639</v>
      </c>
    </row>
    <row r="2" spans="1:4" x14ac:dyDescent="0.2">
      <c r="A2">
        <v>460</v>
      </c>
      <c r="B2">
        <v>768.19999999999993</v>
      </c>
      <c r="C2">
        <v>1242</v>
      </c>
      <c r="D2">
        <v>1633</v>
      </c>
    </row>
    <row r="3" spans="1:4" x14ac:dyDescent="0.2">
      <c r="A3">
        <v>918</v>
      </c>
      <c r="B3">
        <v>1533.06</v>
      </c>
      <c r="C3">
        <v>2478.6000000000004</v>
      </c>
      <c r="D3">
        <v>3258.8999999999996</v>
      </c>
    </row>
    <row r="4" spans="1:4" x14ac:dyDescent="0.2">
      <c r="A4">
        <v>1532</v>
      </c>
      <c r="B4">
        <v>2558.44</v>
      </c>
      <c r="C4">
        <v>4136.4000000000005</v>
      </c>
      <c r="D4">
        <v>5438.5999999999995</v>
      </c>
    </row>
    <row r="5" spans="1:4" x14ac:dyDescent="0.2">
      <c r="A5">
        <v>1840</v>
      </c>
      <c r="B5">
        <v>3072.7999999999997</v>
      </c>
      <c r="C5">
        <v>4968</v>
      </c>
      <c r="D5">
        <v>6532</v>
      </c>
    </row>
    <row r="6" spans="1:4" x14ac:dyDescent="0.2">
      <c r="A6">
        <v>1514</v>
      </c>
      <c r="B6">
        <v>2528.38</v>
      </c>
      <c r="C6">
        <v>4087.8</v>
      </c>
      <c r="D6">
        <v>5374.7</v>
      </c>
    </row>
    <row r="7" spans="1:4" x14ac:dyDescent="0.2">
      <c r="A7">
        <v>1081</v>
      </c>
      <c r="B7">
        <v>1805.27</v>
      </c>
      <c r="C7">
        <v>2918.7000000000003</v>
      </c>
      <c r="D7">
        <v>3837.5499999999997</v>
      </c>
    </row>
    <row r="8" spans="1:4" x14ac:dyDescent="0.2">
      <c r="A8">
        <v>786</v>
      </c>
      <c r="B8">
        <v>1312.62</v>
      </c>
      <c r="C8">
        <v>2122.2000000000003</v>
      </c>
      <c r="D8">
        <v>2790.2999999999997</v>
      </c>
    </row>
    <row r="9" spans="1:4" x14ac:dyDescent="0.2">
      <c r="A9">
        <v>732</v>
      </c>
      <c r="B9">
        <v>1222.44</v>
      </c>
      <c r="C9">
        <v>1976.4</v>
      </c>
      <c r="D9">
        <v>2598.6</v>
      </c>
    </row>
    <row r="10" spans="1:4" x14ac:dyDescent="0.2">
      <c r="A10">
        <v>645</v>
      </c>
      <c r="B10">
        <v>1077.1499999999999</v>
      </c>
      <c r="C10">
        <v>1741.5000000000002</v>
      </c>
      <c r="D10">
        <v>2289.75</v>
      </c>
    </row>
    <row r="11" spans="1:4" x14ac:dyDescent="0.2">
      <c r="A11">
        <v>584</v>
      </c>
      <c r="B11">
        <v>975.28</v>
      </c>
      <c r="C11">
        <v>1576.8000000000002</v>
      </c>
      <c r="D11">
        <v>2073.1999999999998</v>
      </c>
    </row>
    <row r="12" spans="1:4" x14ac:dyDescent="0.2">
      <c r="A12">
        <v>551</v>
      </c>
      <c r="B12">
        <v>920.17</v>
      </c>
      <c r="C12">
        <v>1487.7</v>
      </c>
      <c r="D12">
        <v>1956.05</v>
      </c>
    </row>
    <row r="13" spans="1:4" x14ac:dyDescent="0.2">
      <c r="A13">
        <v>514</v>
      </c>
      <c r="B13">
        <v>858.38</v>
      </c>
      <c r="C13">
        <v>1387.8000000000002</v>
      </c>
      <c r="D13">
        <v>1824.6999999999998</v>
      </c>
    </row>
    <row r="14" spans="1:4" x14ac:dyDescent="0.2">
      <c r="A14">
        <v>483</v>
      </c>
      <c r="B14">
        <v>806.61</v>
      </c>
      <c r="C14">
        <v>1304.1000000000001</v>
      </c>
      <c r="D14">
        <v>1714.6499999999999</v>
      </c>
    </row>
    <row r="15" spans="1:4" x14ac:dyDescent="0.2">
      <c r="A15">
        <v>453</v>
      </c>
      <c r="B15">
        <v>756.51</v>
      </c>
      <c r="C15">
        <v>1223.1000000000001</v>
      </c>
      <c r="D15">
        <v>1608.1499999999999</v>
      </c>
    </row>
    <row r="16" spans="1:4" x14ac:dyDescent="0.2">
      <c r="A16">
        <v>432</v>
      </c>
      <c r="B16">
        <v>721.43999999999994</v>
      </c>
      <c r="C16">
        <v>1166.4000000000001</v>
      </c>
      <c r="D16">
        <v>1533.6</v>
      </c>
    </row>
    <row r="17" spans="1:4" x14ac:dyDescent="0.2">
      <c r="A17">
        <v>421</v>
      </c>
      <c r="B17">
        <v>703.06999999999994</v>
      </c>
      <c r="C17">
        <v>1136.7</v>
      </c>
      <c r="D17">
        <v>1494.55</v>
      </c>
    </row>
    <row r="18" spans="1:4" x14ac:dyDescent="0.2">
      <c r="A18">
        <v>418</v>
      </c>
      <c r="B18">
        <v>698.06</v>
      </c>
      <c r="C18">
        <v>1128.6000000000001</v>
      </c>
      <c r="D18">
        <v>1483.8999999999999</v>
      </c>
    </row>
    <row r="19" spans="1:4" x14ac:dyDescent="0.2">
      <c r="A19">
        <v>406</v>
      </c>
      <c r="B19">
        <v>678.02</v>
      </c>
      <c r="C19">
        <v>1096.2</v>
      </c>
      <c r="D19">
        <v>1441.3</v>
      </c>
    </row>
    <row r="20" spans="1:4" x14ac:dyDescent="0.2">
      <c r="A20">
        <v>386</v>
      </c>
      <c r="B20">
        <v>644.62</v>
      </c>
      <c r="C20">
        <v>1042.2</v>
      </c>
      <c r="D20">
        <v>1370.3</v>
      </c>
    </row>
    <row r="21" spans="1:4" x14ac:dyDescent="0.2">
      <c r="A21">
        <v>371</v>
      </c>
      <c r="B21">
        <v>619.56999999999994</v>
      </c>
      <c r="C21">
        <v>1001.7</v>
      </c>
      <c r="D21">
        <v>1317.05</v>
      </c>
    </row>
    <row r="22" spans="1:4" x14ac:dyDescent="0.2">
      <c r="A22">
        <v>362</v>
      </c>
      <c r="B22">
        <v>604.54</v>
      </c>
      <c r="C22">
        <v>977.40000000000009</v>
      </c>
      <c r="D22">
        <v>1285.0999999999999</v>
      </c>
    </row>
    <row r="23" spans="1:4" x14ac:dyDescent="0.2">
      <c r="A23">
        <v>349</v>
      </c>
      <c r="B23">
        <v>582.82999999999993</v>
      </c>
      <c r="C23">
        <v>942.30000000000007</v>
      </c>
      <c r="D23">
        <v>1238.95</v>
      </c>
    </row>
    <row r="24" spans="1:4" x14ac:dyDescent="0.2">
      <c r="A24">
        <v>341</v>
      </c>
      <c r="B24">
        <v>569.47</v>
      </c>
      <c r="C24">
        <v>920.7</v>
      </c>
      <c r="D24">
        <v>1210.55</v>
      </c>
    </row>
    <row r="25" spans="1:4" x14ac:dyDescent="0.2">
      <c r="A25">
        <v>329</v>
      </c>
      <c r="B25">
        <v>549.42999999999995</v>
      </c>
      <c r="C25">
        <v>888.30000000000007</v>
      </c>
      <c r="D25">
        <v>1167.95</v>
      </c>
    </row>
    <row r="26" spans="1:4" x14ac:dyDescent="0.2">
      <c r="A26">
        <v>297</v>
      </c>
      <c r="B26">
        <v>495.98999999999995</v>
      </c>
      <c r="C26">
        <v>801.90000000000009</v>
      </c>
      <c r="D26">
        <v>1054.3499999999999</v>
      </c>
    </row>
    <row r="27" spans="1:4" x14ac:dyDescent="0.2">
      <c r="A27">
        <v>325</v>
      </c>
      <c r="B27">
        <v>542.75</v>
      </c>
      <c r="C27">
        <v>877.50000000000011</v>
      </c>
      <c r="D27">
        <v>1153.75</v>
      </c>
    </row>
    <row r="28" spans="1:4" x14ac:dyDescent="0.2">
      <c r="A28">
        <v>319</v>
      </c>
      <c r="B28">
        <v>532.73</v>
      </c>
      <c r="C28">
        <v>861.30000000000007</v>
      </c>
      <c r="D28">
        <v>1132.45</v>
      </c>
    </row>
    <row r="29" spans="1:4" x14ac:dyDescent="0.2">
      <c r="A29">
        <v>308</v>
      </c>
      <c r="B29">
        <v>514.36</v>
      </c>
      <c r="C29">
        <v>831.6</v>
      </c>
      <c r="D29">
        <v>1093.3999999999999</v>
      </c>
    </row>
    <row r="30" spans="1:4" x14ac:dyDescent="0.2">
      <c r="A30">
        <v>296</v>
      </c>
      <c r="B30">
        <v>494.32</v>
      </c>
      <c r="C30">
        <v>799.2</v>
      </c>
      <c r="D30">
        <v>1050.8</v>
      </c>
    </row>
    <row r="31" spans="1:4" x14ac:dyDescent="0.2">
      <c r="A31">
        <v>284</v>
      </c>
      <c r="B31">
        <v>474.28</v>
      </c>
      <c r="C31">
        <v>766.80000000000007</v>
      </c>
      <c r="D31">
        <v>1008.1999999999999</v>
      </c>
    </row>
    <row r="32" spans="1:4" x14ac:dyDescent="0.2">
      <c r="A32">
        <v>280</v>
      </c>
      <c r="B32">
        <v>467.59999999999997</v>
      </c>
      <c r="C32">
        <v>756</v>
      </c>
      <c r="D32">
        <v>994</v>
      </c>
    </row>
    <row r="33" spans="1:4" x14ac:dyDescent="0.2">
      <c r="A33">
        <v>279</v>
      </c>
      <c r="B33">
        <v>465.93</v>
      </c>
      <c r="C33">
        <v>753.30000000000007</v>
      </c>
      <c r="D33">
        <v>990.44999999999993</v>
      </c>
    </row>
    <row r="34" spans="1:4" x14ac:dyDescent="0.2">
      <c r="A34">
        <v>279</v>
      </c>
      <c r="B34">
        <v>465.93</v>
      </c>
      <c r="C34">
        <v>753.30000000000007</v>
      </c>
      <c r="D34">
        <v>990.44999999999993</v>
      </c>
    </row>
    <row r="35" spans="1:4" x14ac:dyDescent="0.2">
      <c r="A35">
        <v>278</v>
      </c>
      <c r="B35">
        <v>464.26</v>
      </c>
      <c r="C35">
        <v>750.6</v>
      </c>
      <c r="D35">
        <v>986.9</v>
      </c>
    </row>
    <row r="36" spans="1:4" x14ac:dyDescent="0.2">
      <c r="A36">
        <v>275</v>
      </c>
      <c r="B36">
        <v>459.25</v>
      </c>
      <c r="C36">
        <v>742.5</v>
      </c>
      <c r="D36">
        <v>976.25</v>
      </c>
    </row>
    <row r="37" spans="1:4" x14ac:dyDescent="0.2">
      <c r="A37">
        <v>270</v>
      </c>
      <c r="B37">
        <v>450.9</v>
      </c>
      <c r="C37">
        <v>729</v>
      </c>
      <c r="D37">
        <v>958.5</v>
      </c>
    </row>
    <row r="38" spans="1:4" x14ac:dyDescent="0.2">
      <c r="A38">
        <v>267</v>
      </c>
      <c r="B38">
        <v>445.89</v>
      </c>
      <c r="C38">
        <v>720.90000000000009</v>
      </c>
      <c r="D38">
        <v>947.84999999999991</v>
      </c>
    </row>
    <row r="39" spans="1:4" x14ac:dyDescent="0.2">
      <c r="A39">
        <v>264</v>
      </c>
      <c r="B39">
        <v>440.88</v>
      </c>
      <c r="C39">
        <v>712.80000000000007</v>
      </c>
      <c r="D39">
        <v>937.19999999999993</v>
      </c>
    </row>
    <row r="40" spans="1:4" x14ac:dyDescent="0.2">
      <c r="A40">
        <v>260</v>
      </c>
      <c r="B40">
        <v>434.2</v>
      </c>
      <c r="C40">
        <v>702</v>
      </c>
      <c r="D40">
        <v>923</v>
      </c>
    </row>
    <row r="41" spans="1:4" x14ac:dyDescent="0.2">
      <c r="A41">
        <v>258</v>
      </c>
      <c r="B41">
        <v>430.85999999999996</v>
      </c>
      <c r="C41">
        <v>696.6</v>
      </c>
      <c r="D41">
        <v>915.9</v>
      </c>
    </row>
    <row r="42" spans="1:4" x14ac:dyDescent="0.2">
      <c r="A42">
        <v>255</v>
      </c>
      <c r="B42">
        <v>425.84999999999997</v>
      </c>
      <c r="C42">
        <v>688.5</v>
      </c>
      <c r="D42">
        <v>905.25</v>
      </c>
    </row>
    <row r="43" spans="1:4" x14ac:dyDescent="0.2">
      <c r="A43">
        <v>253</v>
      </c>
      <c r="B43">
        <v>422.51</v>
      </c>
      <c r="C43">
        <v>683.1</v>
      </c>
      <c r="D43">
        <v>898.15</v>
      </c>
    </row>
    <row r="44" spans="1:4" x14ac:dyDescent="0.2">
      <c r="A44">
        <v>249</v>
      </c>
      <c r="B44">
        <v>415.83</v>
      </c>
      <c r="C44">
        <v>672.30000000000007</v>
      </c>
      <c r="D44">
        <v>883.94999999999993</v>
      </c>
    </row>
    <row r="45" spans="1:4" x14ac:dyDescent="0.2">
      <c r="A45">
        <v>246</v>
      </c>
      <c r="B45">
        <v>410.82</v>
      </c>
      <c r="C45">
        <v>664.2</v>
      </c>
      <c r="D45">
        <v>873.3</v>
      </c>
    </row>
    <row r="46" spans="1:4" x14ac:dyDescent="0.2">
      <c r="A46">
        <v>240</v>
      </c>
      <c r="B46">
        <v>400.79999999999995</v>
      </c>
      <c r="C46">
        <v>648</v>
      </c>
      <c r="D46">
        <v>852</v>
      </c>
    </row>
    <row r="47" spans="1:4" x14ac:dyDescent="0.2">
      <c r="A47">
        <v>238</v>
      </c>
      <c r="B47">
        <v>397.46</v>
      </c>
      <c r="C47">
        <v>642.6</v>
      </c>
      <c r="D47">
        <v>844.9</v>
      </c>
    </row>
    <row r="48" spans="1:4" x14ac:dyDescent="0.2">
      <c r="A48">
        <v>233</v>
      </c>
      <c r="B48">
        <v>389.10999999999996</v>
      </c>
      <c r="C48">
        <v>629.1</v>
      </c>
      <c r="D48">
        <v>827.15</v>
      </c>
    </row>
    <row r="49" spans="1:4" x14ac:dyDescent="0.2">
      <c r="A49">
        <v>230</v>
      </c>
      <c r="B49">
        <v>384.09999999999997</v>
      </c>
      <c r="C49">
        <v>621</v>
      </c>
      <c r="D49">
        <v>816.5</v>
      </c>
    </row>
    <row r="50" spans="1:4" x14ac:dyDescent="0.2">
      <c r="A50">
        <v>229</v>
      </c>
      <c r="B50">
        <v>382.43</v>
      </c>
      <c r="C50">
        <v>618.30000000000007</v>
      </c>
      <c r="D50">
        <v>812.94999999999993</v>
      </c>
    </row>
    <row r="51" spans="1:4" x14ac:dyDescent="0.2">
      <c r="A51">
        <v>228</v>
      </c>
      <c r="B51">
        <v>380.76</v>
      </c>
      <c r="C51">
        <v>615.6</v>
      </c>
      <c r="D51">
        <v>809.4</v>
      </c>
    </row>
    <row r="52" spans="1:4" x14ac:dyDescent="0.2">
      <c r="A52">
        <v>225</v>
      </c>
      <c r="B52">
        <v>375.75</v>
      </c>
      <c r="C52">
        <v>607.5</v>
      </c>
      <c r="D52">
        <v>798.75</v>
      </c>
    </row>
    <row r="53" spans="1:4" x14ac:dyDescent="0.2">
      <c r="A53">
        <v>219</v>
      </c>
      <c r="B53">
        <v>365.72999999999996</v>
      </c>
      <c r="C53">
        <v>591.30000000000007</v>
      </c>
      <c r="D53">
        <v>777.44999999999993</v>
      </c>
    </row>
    <row r="54" spans="1:4" x14ac:dyDescent="0.2">
      <c r="A54">
        <v>211</v>
      </c>
      <c r="B54">
        <v>352.37</v>
      </c>
      <c r="C54">
        <v>569.70000000000005</v>
      </c>
      <c r="D54">
        <v>749.05</v>
      </c>
    </row>
    <row r="55" spans="1:4" x14ac:dyDescent="0.2">
      <c r="A55">
        <v>203</v>
      </c>
      <c r="B55">
        <v>339.01</v>
      </c>
      <c r="C55">
        <v>548.1</v>
      </c>
      <c r="D55">
        <v>720.65</v>
      </c>
    </row>
    <row r="56" spans="1:4" x14ac:dyDescent="0.2">
      <c r="A56">
        <v>199</v>
      </c>
      <c r="B56">
        <v>332.33</v>
      </c>
      <c r="C56">
        <v>537.30000000000007</v>
      </c>
      <c r="D56">
        <v>706.44999999999993</v>
      </c>
    </row>
    <row r="57" spans="1:4" x14ac:dyDescent="0.2">
      <c r="A57">
        <v>198</v>
      </c>
      <c r="B57">
        <v>330.65999999999997</v>
      </c>
      <c r="C57">
        <v>534.6</v>
      </c>
      <c r="D57">
        <v>702.9</v>
      </c>
    </row>
    <row r="58" spans="1:4" x14ac:dyDescent="0.2">
      <c r="A58">
        <v>195</v>
      </c>
      <c r="B58">
        <v>325.64999999999998</v>
      </c>
      <c r="C58">
        <v>526.5</v>
      </c>
      <c r="D58">
        <v>692.25</v>
      </c>
    </row>
    <row r="59" spans="1:4" x14ac:dyDescent="0.2">
      <c r="A59">
        <v>194</v>
      </c>
      <c r="B59">
        <v>323.97999999999996</v>
      </c>
      <c r="C59">
        <v>523.80000000000007</v>
      </c>
      <c r="D59">
        <v>688.69999999999993</v>
      </c>
    </row>
    <row r="60" spans="1:4" x14ac:dyDescent="0.2">
      <c r="A60">
        <v>189</v>
      </c>
      <c r="B60">
        <v>315.63</v>
      </c>
      <c r="C60">
        <v>510.3</v>
      </c>
      <c r="D60">
        <v>670.94999999999993</v>
      </c>
    </row>
    <row r="61" spans="1:4" x14ac:dyDescent="0.2">
      <c r="A61">
        <v>187</v>
      </c>
      <c r="B61">
        <v>312.28999999999996</v>
      </c>
      <c r="C61">
        <v>504.90000000000003</v>
      </c>
      <c r="D61">
        <v>663.85</v>
      </c>
    </row>
    <row r="62" spans="1:4" x14ac:dyDescent="0.2">
      <c r="A62">
        <v>182</v>
      </c>
      <c r="B62">
        <v>303.94</v>
      </c>
      <c r="C62">
        <v>491.40000000000003</v>
      </c>
      <c r="D62">
        <v>646.1</v>
      </c>
    </row>
    <row r="63" spans="1:4" x14ac:dyDescent="0.2">
      <c r="A63">
        <v>177</v>
      </c>
      <c r="B63">
        <v>295.58999999999997</v>
      </c>
      <c r="C63">
        <v>477.90000000000003</v>
      </c>
      <c r="D63">
        <v>628.35</v>
      </c>
    </row>
    <row r="64" spans="1:4" x14ac:dyDescent="0.2">
      <c r="A64">
        <v>169</v>
      </c>
      <c r="B64">
        <v>282.22999999999996</v>
      </c>
      <c r="C64">
        <v>456.3</v>
      </c>
      <c r="D64">
        <v>599.94999999999993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A3E0-9A9C-478B-9310-D8169853F02C}">
  <dimension ref="A1:U29"/>
  <sheetViews>
    <sheetView topLeftCell="A10" workbookViewId="0">
      <selection activeCell="C29" sqref="C29"/>
    </sheetView>
  </sheetViews>
  <sheetFormatPr defaultRowHeight="14.25" x14ac:dyDescent="0.2"/>
  <sheetData>
    <row r="1" spans="1:21" x14ac:dyDescent="0.2">
      <c r="A1" t="s">
        <v>4</v>
      </c>
      <c r="B1" t="s">
        <v>5</v>
      </c>
      <c r="C1" t="s">
        <v>7</v>
      </c>
      <c r="D1" t="s">
        <v>9</v>
      </c>
      <c r="E1" t="s">
        <v>11</v>
      </c>
      <c r="F1" t="s">
        <v>6</v>
      </c>
    </row>
    <row r="2" spans="1:21" x14ac:dyDescent="0.2">
      <c r="A2">
        <v>5200</v>
      </c>
      <c r="B2">
        <v>0</v>
      </c>
      <c r="C2">
        <f>D2-B2-A2</f>
        <v>0</v>
      </c>
      <c r="D2">
        <v>5200</v>
      </c>
      <c r="E2">
        <f>A2+B2</f>
        <v>5200</v>
      </c>
      <c r="F2">
        <v>0</v>
      </c>
    </row>
    <row r="3" spans="1:21" x14ac:dyDescent="0.2">
      <c r="A3">
        <v>9500</v>
      </c>
      <c r="B3">
        <v>600</v>
      </c>
      <c r="C3">
        <f t="shared" ref="C3:C14" si="0">D3-B3-A3</f>
        <v>520</v>
      </c>
      <c r="D3">
        <v>10620</v>
      </c>
      <c r="E3">
        <f t="shared" ref="E3:E14" si="1">A3+B3</f>
        <v>10100</v>
      </c>
      <c r="F3">
        <v>520</v>
      </c>
    </row>
    <row r="4" spans="1:21" x14ac:dyDescent="0.2">
      <c r="A4">
        <v>15000</v>
      </c>
      <c r="B4">
        <v>2100</v>
      </c>
      <c r="C4">
        <f t="shared" si="0"/>
        <v>2710</v>
      </c>
      <c r="D4">
        <v>19810</v>
      </c>
      <c r="E4">
        <f t="shared" si="1"/>
        <v>17100</v>
      </c>
      <c r="F4">
        <v>2710</v>
      </c>
    </row>
    <row r="5" spans="1:21" x14ac:dyDescent="0.2">
      <c r="A5">
        <v>23600</v>
      </c>
      <c r="B5">
        <v>3940</v>
      </c>
      <c r="C5">
        <f t="shared" si="0"/>
        <v>7740</v>
      </c>
      <c r="D5">
        <v>35280</v>
      </c>
      <c r="E5">
        <f t="shared" si="1"/>
        <v>27540</v>
      </c>
      <c r="F5">
        <v>7740</v>
      </c>
    </row>
    <row r="6" spans="1:21" x14ac:dyDescent="0.2">
      <c r="A6">
        <v>35300</v>
      </c>
      <c r="B6">
        <v>6670</v>
      </c>
      <c r="C6">
        <f t="shared" si="0"/>
        <v>15650</v>
      </c>
      <c r="D6">
        <v>57620</v>
      </c>
      <c r="E6">
        <f t="shared" si="1"/>
        <v>41970</v>
      </c>
      <c r="F6">
        <v>15650</v>
      </c>
    </row>
    <row r="7" spans="1:21" x14ac:dyDescent="0.2">
      <c r="A7">
        <v>49700</v>
      </c>
      <c r="B7">
        <v>10350</v>
      </c>
      <c r="C7">
        <f t="shared" si="0"/>
        <v>26680</v>
      </c>
      <c r="D7">
        <v>86730</v>
      </c>
      <c r="E7">
        <f t="shared" si="1"/>
        <v>60050</v>
      </c>
      <c r="F7">
        <v>26680</v>
      </c>
    </row>
    <row r="8" spans="1:21" x14ac:dyDescent="0.2">
      <c r="A8">
        <v>66200</v>
      </c>
      <c r="B8">
        <v>15650</v>
      </c>
      <c r="C8">
        <f t="shared" si="0"/>
        <v>40800</v>
      </c>
      <c r="D8">
        <v>122650</v>
      </c>
      <c r="E8">
        <f t="shared" si="1"/>
        <v>81850</v>
      </c>
      <c r="F8">
        <v>40800</v>
      </c>
    </row>
    <row r="9" spans="1:21" x14ac:dyDescent="0.2">
      <c r="A9">
        <v>84300</v>
      </c>
      <c r="B9">
        <v>21800</v>
      </c>
      <c r="C9">
        <f t="shared" si="0"/>
        <v>57800</v>
      </c>
      <c r="D9">
        <v>163900</v>
      </c>
      <c r="E9">
        <f t="shared" si="1"/>
        <v>106100</v>
      </c>
      <c r="F9">
        <v>57800</v>
      </c>
    </row>
    <row r="10" spans="1:21" x14ac:dyDescent="0.2">
      <c r="A10">
        <v>107000</v>
      </c>
      <c r="B10">
        <v>28800</v>
      </c>
      <c r="C10">
        <f t="shared" si="0"/>
        <v>77350</v>
      </c>
      <c r="D10">
        <v>213150</v>
      </c>
      <c r="E10">
        <f t="shared" si="1"/>
        <v>135800</v>
      </c>
      <c r="F10">
        <v>77350</v>
      </c>
    </row>
    <row r="11" spans="1:21" x14ac:dyDescent="0.2">
      <c r="A11">
        <v>115300</v>
      </c>
      <c r="B11">
        <v>31920</v>
      </c>
      <c r="C11">
        <f t="shared" si="0"/>
        <v>90380</v>
      </c>
      <c r="D11">
        <v>237600</v>
      </c>
      <c r="E11">
        <f t="shared" si="1"/>
        <v>147220</v>
      </c>
      <c r="F11">
        <v>90380</v>
      </c>
    </row>
    <row r="12" spans="1:21" x14ac:dyDescent="0.2">
      <c r="A12">
        <v>127000</v>
      </c>
      <c r="B12">
        <v>36600</v>
      </c>
      <c r="C12">
        <f t="shared" si="0"/>
        <v>99360</v>
      </c>
      <c r="D12">
        <v>262960</v>
      </c>
      <c r="E12">
        <f t="shared" si="1"/>
        <v>163600</v>
      </c>
      <c r="F12">
        <v>99360</v>
      </c>
    </row>
    <row r="13" spans="1:21" x14ac:dyDescent="0.2">
      <c r="A13">
        <v>146500</v>
      </c>
      <c r="B13">
        <v>45200</v>
      </c>
      <c r="C13">
        <f t="shared" si="0"/>
        <v>122850</v>
      </c>
      <c r="D13">
        <v>314550</v>
      </c>
      <c r="E13">
        <f t="shared" si="1"/>
        <v>191700</v>
      </c>
      <c r="F13">
        <v>122850</v>
      </c>
    </row>
    <row r="14" spans="1:21" x14ac:dyDescent="0.2">
      <c r="A14">
        <v>166500</v>
      </c>
      <c r="B14">
        <v>53800</v>
      </c>
      <c r="C14">
        <f t="shared" si="0"/>
        <v>146340</v>
      </c>
      <c r="D14">
        <v>366640</v>
      </c>
      <c r="E14">
        <f t="shared" si="1"/>
        <v>220300</v>
      </c>
      <c r="F14">
        <v>146340</v>
      </c>
    </row>
    <row r="16" spans="1:21" x14ac:dyDescent="0.2">
      <c r="B16" t="s">
        <v>10</v>
      </c>
      <c r="C16" t="s">
        <v>6</v>
      </c>
      <c r="D16" t="s">
        <v>8</v>
      </c>
      <c r="I16">
        <v>0.52</v>
      </c>
      <c r="J16">
        <v>1.01</v>
      </c>
      <c r="K16">
        <v>1.71</v>
      </c>
      <c r="L16">
        <v>2.754</v>
      </c>
      <c r="M16">
        <v>4.1970000000000001</v>
      </c>
      <c r="N16">
        <v>6.0049999999999999</v>
      </c>
      <c r="O16">
        <v>8.1850000000000005</v>
      </c>
      <c r="P16">
        <v>10.61</v>
      </c>
      <c r="Q16">
        <v>13.58</v>
      </c>
      <c r="R16">
        <v>14.722</v>
      </c>
      <c r="S16">
        <v>16.36</v>
      </c>
      <c r="T16">
        <v>19.170000000000002</v>
      </c>
      <c r="U16">
        <v>22.03</v>
      </c>
    </row>
    <row r="17" spans="1:4" x14ac:dyDescent="0.2">
      <c r="A17">
        <v>5</v>
      </c>
      <c r="B17">
        <f>E2/10000</f>
        <v>0.52</v>
      </c>
      <c r="C17">
        <f>F2/10000</f>
        <v>0</v>
      </c>
      <c r="D17">
        <f>D2/10000</f>
        <v>0.52</v>
      </c>
    </row>
    <row r="18" spans="1:4" x14ac:dyDescent="0.2">
      <c r="A18">
        <v>5.5</v>
      </c>
      <c r="B18">
        <f t="shared" ref="B18:C18" si="2">E3/10000</f>
        <v>1.01</v>
      </c>
      <c r="C18">
        <f t="shared" si="2"/>
        <v>5.1999999999999998E-2</v>
      </c>
      <c r="D18">
        <f t="shared" ref="D18:D29" si="3">D3/10000</f>
        <v>1.0620000000000001</v>
      </c>
    </row>
    <row r="19" spans="1:4" x14ac:dyDescent="0.2">
      <c r="A19">
        <v>6</v>
      </c>
      <c r="B19">
        <f t="shared" ref="B19:C19" si="4">E4/10000</f>
        <v>1.71</v>
      </c>
      <c r="C19">
        <f t="shared" si="4"/>
        <v>0.27100000000000002</v>
      </c>
      <c r="D19">
        <f t="shared" si="3"/>
        <v>1.9810000000000001</v>
      </c>
    </row>
    <row r="20" spans="1:4" x14ac:dyDescent="0.2">
      <c r="A20">
        <v>6.5</v>
      </c>
      <c r="B20">
        <f t="shared" ref="B20:C20" si="5">E5/10000</f>
        <v>2.754</v>
      </c>
      <c r="C20">
        <f t="shared" si="5"/>
        <v>0.77400000000000002</v>
      </c>
      <c r="D20">
        <f t="shared" si="3"/>
        <v>3.528</v>
      </c>
    </row>
    <row r="21" spans="1:4" x14ac:dyDescent="0.2">
      <c r="A21">
        <v>7</v>
      </c>
      <c r="B21">
        <f t="shared" ref="B21:C21" si="6">E6/10000</f>
        <v>4.1970000000000001</v>
      </c>
      <c r="C21">
        <f t="shared" si="6"/>
        <v>1.5649999999999999</v>
      </c>
      <c r="D21">
        <f t="shared" si="3"/>
        <v>5.7619999999999996</v>
      </c>
    </row>
    <row r="22" spans="1:4" x14ac:dyDescent="0.2">
      <c r="A22">
        <v>7.5</v>
      </c>
      <c r="B22">
        <f t="shared" ref="B22:C22" si="7">E7/10000</f>
        <v>6.0049999999999999</v>
      </c>
      <c r="C22">
        <f t="shared" si="7"/>
        <v>2.6680000000000001</v>
      </c>
      <c r="D22">
        <f t="shared" si="3"/>
        <v>8.673</v>
      </c>
    </row>
    <row r="23" spans="1:4" x14ac:dyDescent="0.2">
      <c r="A23">
        <v>8</v>
      </c>
      <c r="B23">
        <f t="shared" ref="B23:C23" si="8">E8/10000</f>
        <v>8.1850000000000005</v>
      </c>
      <c r="C23">
        <f t="shared" si="8"/>
        <v>4.08</v>
      </c>
      <c r="D23">
        <f t="shared" si="3"/>
        <v>12.265000000000001</v>
      </c>
    </row>
    <row r="24" spans="1:4" x14ac:dyDescent="0.2">
      <c r="A24">
        <v>8.5</v>
      </c>
      <c r="B24">
        <f t="shared" ref="B24:C24" si="9">E9/10000</f>
        <v>10.61</v>
      </c>
      <c r="C24">
        <f t="shared" si="9"/>
        <v>5.78</v>
      </c>
      <c r="D24">
        <f t="shared" si="3"/>
        <v>16.39</v>
      </c>
    </row>
    <row r="25" spans="1:4" x14ac:dyDescent="0.2">
      <c r="A25">
        <v>9</v>
      </c>
      <c r="B25">
        <f t="shared" ref="B25:C25" si="10">E10/10000</f>
        <v>13.58</v>
      </c>
      <c r="C25">
        <f t="shared" si="10"/>
        <v>7.7350000000000003</v>
      </c>
      <c r="D25">
        <f t="shared" si="3"/>
        <v>21.315000000000001</v>
      </c>
    </row>
    <row r="26" spans="1:4" x14ac:dyDescent="0.2">
      <c r="A26">
        <v>9.1999999999999993</v>
      </c>
      <c r="B26">
        <f t="shared" ref="B26:C26" si="11">E11/10000</f>
        <v>14.722</v>
      </c>
      <c r="C26">
        <f t="shared" si="11"/>
        <v>9.0380000000000003</v>
      </c>
      <c r="D26">
        <f t="shared" si="3"/>
        <v>23.76</v>
      </c>
    </row>
    <row r="27" spans="1:4" x14ac:dyDescent="0.2">
      <c r="A27">
        <v>9.5</v>
      </c>
      <c r="B27">
        <f t="shared" ref="B27:C27" si="12">E12/10000</f>
        <v>16.36</v>
      </c>
      <c r="C27">
        <f t="shared" si="12"/>
        <v>9.9359999999999999</v>
      </c>
      <c r="D27">
        <f t="shared" si="3"/>
        <v>26.295999999999999</v>
      </c>
    </row>
    <row r="28" spans="1:4" x14ac:dyDescent="0.2">
      <c r="A28">
        <v>10</v>
      </c>
      <c r="B28">
        <f t="shared" ref="B28:C28" si="13">E13/10000</f>
        <v>19.170000000000002</v>
      </c>
      <c r="C28">
        <f t="shared" si="13"/>
        <v>12.285</v>
      </c>
      <c r="D28">
        <f t="shared" si="3"/>
        <v>31.454999999999998</v>
      </c>
    </row>
    <row r="29" spans="1:4" x14ac:dyDescent="0.2">
      <c r="A29">
        <v>10.5</v>
      </c>
      <c r="B29">
        <f t="shared" ref="B29:C29" si="14">E14/10000</f>
        <v>22.03</v>
      </c>
      <c r="C29">
        <f t="shared" si="14"/>
        <v>14.634</v>
      </c>
      <c r="D29">
        <f t="shared" si="3"/>
        <v>36.664000000000001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B490-E6C1-495A-9725-794F45CA6F1F}">
  <dimension ref="A1:B5"/>
  <sheetViews>
    <sheetView tabSelected="1" workbookViewId="0">
      <selection activeCell="E21" sqref="E21"/>
    </sheetView>
  </sheetViews>
  <sheetFormatPr defaultRowHeight="14.25" x14ac:dyDescent="0.2"/>
  <sheetData>
    <row r="1" spans="1:2" x14ac:dyDescent="0.2">
      <c r="A1">
        <v>1956</v>
      </c>
      <c r="B1">
        <v>2990</v>
      </c>
    </row>
    <row r="2" spans="1:2" x14ac:dyDescent="0.2">
      <c r="A2">
        <v>1963</v>
      </c>
      <c r="B2">
        <v>5380</v>
      </c>
    </row>
    <row r="3" spans="1:2" x14ac:dyDescent="0.2">
      <c r="A3">
        <v>1996</v>
      </c>
      <c r="B3">
        <v>1720</v>
      </c>
    </row>
    <row r="4" spans="1:2" x14ac:dyDescent="0.2">
      <c r="A4">
        <v>2012</v>
      </c>
      <c r="B4">
        <v>2800</v>
      </c>
    </row>
    <row r="5" spans="1:2" x14ac:dyDescent="0.2">
      <c r="A5">
        <v>2023</v>
      </c>
      <c r="B5">
        <v>5300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设计洪水</vt:lpstr>
      <vt:lpstr>安格庄</vt:lpstr>
      <vt:lpstr>东茨村</vt:lpstr>
      <vt:lpstr>落宝滩</vt:lpstr>
      <vt:lpstr>山区平原区间入流</vt:lpstr>
      <vt:lpstr>区间入流</vt:lpstr>
      <vt:lpstr>区间优化</vt:lpstr>
      <vt:lpstr>王快优化</vt:lpstr>
      <vt:lpstr>西大洋优化</vt:lpstr>
      <vt:lpstr>Sheet1</vt:lpstr>
      <vt:lpstr>王快</vt:lpstr>
      <vt:lpstr>龙门优化</vt:lpstr>
      <vt:lpstr>横山岭优化</vt:lpstr>
      <vt:lpstr>龙门</vt:lpstr>
      <vt:lpstr>西大洋</vt:lpstr>
      <vt:lpstr>横山岭</vt:lpstr>
      <vt:lpstr>东茨</vt:lpstr>
      <vt:lpstr>北河店</vt:lpstr>
      <vt:lpstr>白洋淀特征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2024-12-10T03:28:03Z</dcterms:created>
  <dcterms:modified xsi:type="dcterms:W3CDTF">2025-04-11T06:42:18Z</dcterms:modified>
</cp:coreProperties>
</file>